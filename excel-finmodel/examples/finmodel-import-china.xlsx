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ude Projects\paid-tasks\portfolio\excel-finmodel\examples\"/>
    </mc:Choice>
  </mc:AlternateContent>
  <xr:revisionPtr revIDLastSave="0" documentId="13_ncr:1_{3737345D-34D9-4A15-A96C-711B9A3FB4B1}" xr6:coauthVersionLast="47" xr6:coauthVersionMax="47" xr10:uidLastSave="{00000000-0000-0000-0000-000000000000}"/>
  <bookViews>
    <workbookView xWindow="-120" yWindow="-120" windowWidth="29040" windowHeight="15720" activeTab="1" xr2:uid="{00000000-000D-0000-FFFF-FFFF00000000}"/>
  </bookViews>
  <sheets>
    <sheet name="Инструкция" sheetId="1" r:id="rId1"/>
    <sheet name="Дашборд" sheetId="2" r:id="rId2"/>
    <sheet name="Допущения" sheetId="3" r:id="rId3"/>
    <sheet name="Сценарии" sheetId="4" r:id="rId4"/>
    <sheet name="Юнит-экономика" sheetId="5" r:id="rId5"/>
    <sheet name="Закупки и склад" sheetId="6" r:id="rId6"/>
    <sheet name="Денежный поток" sheetId="7" r:id="rId7"/>
    <sheet name="ОПиУ" sheetId="8" r:id="rId8"/>
    <sheet name="Чувствительность" sheetId="9" r:id="rId9"/>
  </sheets>
  <definedNames>
    <definedName name="ROI_период">Дашборд!$K$6</definedName>
    <definedName name="Банк_комиссия">Допущения!$C$11</definedName>
    <definedName name="Возврат_логистика">Допущения!$C$17</definedName>
    <definedName name="Выручка_итого">Дашборд!$B$6</definedName>
    <definedName name="Выручка_макс_год">ОПиУ!$D$55</definedName>
    <definedName name="Дата_начала">Допущения!$C$7</definedName>
    <definedName name="Деньги_конец">'Денежный поток'!$D$75</definedName>
    <definedName name="Дней_в_месяце">Допущения!$C$24</definedName>
    <definedName name="Доставка_до_МП">Допущения!$C$16</definedName>
    <definedName name="Доставка_кг">Допущения!$C$13</definedName>
    <definedName name="Доставка_м3">Допущения!$C$14</definedName>
    <definedName name="Доставка_номер">Сценарии!$C$20</definedName>
    <definedName name="Доставка_список">Допущения!$A$76:$A$78</definedName>
    <definedName name="Доставка_способ">Допущения!$C$12</definedName>
    <definedName name="ДРР">Сценарии!$C$18</definedName>
    <definedName name="ДРР_база">Допущения!$C$18</definedName>
    <definedName name="_xlnm.Print_Titles" localSheetId="6">'Денежный поток'!$4:$5,'Денежный поток'!$A:$B</definedName>
    <definedName name="_xlnm.Print_Titles" localSheetId="5">'Закупки и склад'!$4:$5,'Закупки и склад'!$A:$B</definedName>
    <definedName name="_xlnm.Print_Titles" localSheetId="7">ОПиУ!$4:$5,ОПиУ!$A:$B</definedName>
    <definedName name="Задержка_выплат_дн">Допущения!$C$23</definedName>
    <definedName name="Капитал_конец">Дашборд!$K$10</definedName>
    <definedName name="Капитал_старт">Допущения!$C$8</definedName>
    <definedName name="Комиссия_агента">Допущения!$C$10</definedName>
    <definedName name="Контроль_баланса">'Денежный поток'!$D$84</definedName>
    <definedName name="Курс">Сценарии!$C$15</definedName>
    <definedName name="Курс_анализ">Чувствительность!$C$6</definedName>
    <definedName name="Курс_база">Допущения!$C$9</definedName>
    <definedName name="Лимит_НПД">Допущения!$C$33</definedName>
    <definedName name="Макс_разрыв">Дашборд!$E$10</definedName>
    <definedName name="Мин_налог_УСН15">Допущения!$C$32</definedName>
    <definedName name="Множитель_продаж">Сценарии!$C$17</definedName>
    <definedName name="Множитель_цены">Сценарии!$C$16</definedName>
    <definedName name="Налог_номер">Сценарии!$C$19</definedName>
    <definedName name="Налог_режим">Допущения!$C$27</definedName>
    <definedName name="Налог_список">Допущения!$A$29:$A$31</definedName>
    <definedName name="_xlnm.Print_Area" localSheetId="1">Дашборд!$A$1:$M$41</definedName>
    <definedName name="Объём_анализ">Чувствительность!$C$8</definedName>
    <definedName name="Окупаемость_мес">Дашборд!$H$10</definedName>
    <definedName name="Первый_разрыв">Дашборд!$E$11</definedName>
    <definedName name="Пик_вложений">Дашборд!$B$10</definedName>
    <definedName name="Порог_НДС_УСН">Допущения!$C$34</definedName>
    <definedName name="Пост_расходы">Допущения!$C$19</definedName>
    <definedName name="Рентабельность">Дашборд!$H$6</definedName>
    <definedName name="Срок_поставки">Допущения!$C$21</definedName>
    <definedName name="Ставка_НПД">Допущения!$C$31</definedName>
    <definedName name="Ставка_УСН15">Допущения!$C$30</definedName>
    <definedName name="Ставка_УСН6">Допущения!$C$29</definedName>
    <definedName name="Старт_расходы">Допущения!$C$20</definedName>
    <definedName name="Страх_запас">Допущения!$C$22</definedName>
    <definedName name="Сценарий_выбор">Сценарии!$C$5</definedName>
    <definedName name="Сценарий_номер">Сценарии!$C$21</definedName>
    <definedName name="Сценарий_ручной">Сценарии!$C$22</definedName>
    <definedName name="Тамож_оформление">Допущения!$C$15</definedName>
    <definedName name="Темп_продаж">Допущения!$C$56:$C$73</definedName>
    <definedName name="Упущено_шт">'Закупки и склад'!$D$37</definedName>
    <definedName name="Цена_анализ">Чувствительность!$C$7</definedName>
    <definedName name="ЧП_итого">Дашборд!$E$6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8" l="1"/>
  <c r="C53" i="8"/>
  <c r="C52" i="8"/>
  <c r="C37" i="8"/>
  <c r="C36" i="8"/>
  <c r="T36" i="8" s="1"/>
  <c r="T59" i="7" s="1"/>
  <c r="A34" i="8"/>
  <c r="A33" i="8"/>
  <c r="A32" i="8"/>
  <c r="A31" i="8"/>
  <c r="A30" i="8"/>
  <c r="C28" i="8"/>
  <c r="A28" i="8"/>
  <c r="C27" i="8"/>
  <c r="A27" i="8"/>
  <c r="C26" i="8"/>
  <c r="A26" i="8"/>
  <c r="C25" i="8"/>
  <c r="A25" i="8"/>
  <c r="C24" i="8"/>
  <c r="A24" i="8"/>
  <c r="A19" i="8"/>
  <c r="A18" i="8"/>
  <c r="A17" i="8"/>
  <c r="A16" i="8"/>
  <c r="A15" i="8"/>
  <c r="A13" i="8"/>
  <c r="A12" i="8"/>
  <c r="A11" i="8"/>
  <c r="A10" i="8"/>
  <c r="A9" i="8"/>
  <c r="W5" i="8"/>
  <c r="W6" i="8" s="1"/>
  <c r="S5" i="8"/>
  <c r="S6" i="8" s="1"/>
  <c r="W4" i="8"/>
  <c r="W37" i="8" s="1"/>
  <c r="W60" i="7" s="1"/>
  <c r="V4" i="8"/>
  <c r="U4" i="8"/>
  <c r="T4" i="8"/>
  <c r="S4" i="8"/>
  <c r="S37" i="8" s="1"/>
  <c r="S60" i="7" s="1"/>
  <c r="R4" i="8"/>
  <c r="R37" i="8" s="1"/>
  <c r="R60" i="7" s="1"/>
  <c r="Q4" i="8"/>
  <c r="P4" i="8"/>
  <c r="P5" i="8" s="1"/>
  <c r="P6" i="8" s="1"/>
  <c r="O4" i="8"/>
  <c r="O37" i="8" s="1"/>
  <c r="O60" i="7" s="1"/>
  <c r="N4" i="8"/>
  <c r="N37" i="8" s="1"/>
  <c r="N60" i="7" s="1"/>
  <c r="M4" i="8"/>
  <c r="M37" i="8" s="1"/>
  <c r="M60" i="7" s="1"/>
  <c r="L4" i="8"/>
  <c r="L5" i="8" s="1"/>
  <c r="L6" i="8" s="1"/>
  <c r="K4" i="8"/>
  <c r="K5" i="8" s="1"/>
  <c r="K6" i="8" s="1"/>
  <c r="J4" i="8"/>
  <c r="J5" i="8" s="1"/>
  <c r="J6" i="8" s="1"/>
  <c r="I4" i="8"/>
  <c r="I5" i="8" s="1"/>
  <c r="I6" i="8" s="1"/>
  <c r="H4" i="8"/>
  <c r="H37" i="8" s="1"/>
  <c r="H60" i="7" s="1"/>
  <c r="G4" i="8"/>
  <c r="G37" i="8" s="1"/>
  <c r="G60" i="7" s="1"/>
  <c r="F4" i="8"/>
  <c r="E65" i="7"/>
  <c r="F7" i="7" s="1"/>
  <c r="C57" i="7"/>
  <c r="A57" i="7"/>
  <c r="C56" i="7"/>
  <c r="A56" i="7"/>
  <c r="C55" i="7"/>
  <c r="A55" i="7"/>
  <c r="C54" i="7"/>
  <c r="A54" i="7"/>
  <c r="C53" i="7"/>
  <c r="A53" i="7"/>
  <c r="A51" i="7"/>
  <c r="A50" i="7"/>
  <c r="A49" i="7"/>
  <c r="A48" i="7"/>
  <c r="A47" i="7"/>
  <c r="A45" i="7"/>
  <c r="A44" i="7"/>
  <c r="A43" i="7"/>
  <c r="A42" i="7"/>
  <c r="A41" i="7"/>
  <c r="A39" i="7"/>
  <c r="A38" i="7"/>
  <c r="A37" i="7"/>
  <c r="A36" i="7"/>
  <c r="A35" i="7"/>
  <c r="A33" i="7"/>
  <c r="A32" i="7"/>
  <c r="A31" i="7"/>
  <c r="A30" i="7"/>
  <c r="A29" i="7"/>
  <c r="A27" i="7"/>
  <c r="A26" i="7"/>
  <c r="A25" i="7"/>
  <c r="A24" i="7"/>
  <c r="A23" i="7"/>
  <c r="A21" i="7"/>
  <c r="A20" i="7"/>
  <c r="A19" i="7"/>
  <c r="A18" i="7"/>
  <c r="A17" i="7"/>
  <c r="C10" i="7"/>
  <c r="C11" i="7" s="1"/>
  <c r="W4" i="7"/>
  <c r="W5" i="7" s="1"/>
  <c r="L2" i="2" s="1"/>
  <c r="V4" i="7"/>
  <c r="V5" i="7" s="1"/>
  <c r="U4" i="7"/>
  <c r="U5" i="7" s="1"/>
  <c r="T4" i="7"/>
  <c r="T5" i="7" s="1"/>
  <c r="S4" i="7"/>
  <c r="S5" i="7" s="1"/>
  <c r="R4" i="7"/>
  <c r="R5" i="7" s="1"/>
  <c r="Q4" i="7"/>
  <c r="Q5" i="7" s="1"/>
  <c r="P4" i="7"/>
  <c r="P5" i="7" s="1"/>
  <c r="O4" i="7"/>
  <c r="O5" i="7" s="1"/>
  <c r="N4" i="7"/>
  <c r="N5" i="7" s="1"/>
  <c r="M4" i="7"/>
  <c r="M5" i="7" s="1"/>
  <c r="L4" i="7"/>
  <c r="L5" i="7" s="1"/>
  <c r="K4" i="7"/>
  <c r="K5" i="7" s="1"/>
  <c r="J4" i="7"/>
  <c r="J5" i="7" s="1"/>
  <c r="I4" i="7"/>
  <c r="I5" i="7" s="1"/>
  <c r="H4" i="7"/>
  <c r="H5" i="7" s="1"/>
  <c r="G4" i="7"/>
  <c r="G5" i="7" s="1"/>
  <c r="F4" i="7"/>
  <c r="F5" i="7" s="1"/>
  <c r="C75" i="6"/>
  <c r="A75" i="6"/>
  <c r="C74" i="6"/>
  <c r="A74" i="6"/>
  <c r="C73" i="6"/>
  <c r="A73" i="6"/>
  <c r="C72" i="6"/>
  <c r="A72" i="6"/>
  <c r="C71" i="6"/>
  <c r="A71" i="6"/>
  <c r="C68" i="6"/>
  <c r="A68" i="6"/>
  <c r="C67" i="6"/>
  <c r="A67" i="6"/>
  <c r="C66" i="6"/>
  <c r="A66" i="6"/>
  <c r="C65" i="6"/>
  <c r="A65" i="6"/>
  <c r="C64" i="6"/>
  <c r="A64" i="6"/>
  <c r="A61" i="6"/>
  <c r="A60" i="6"/>
  <c r="A59" i="6"/>
  <c r="A58" i="6"/>
  <c r="A57" i="6"/>
  <c r="A53" i="6"/>
  <c r="A52" i="6"/>
  <c r="A51" i="6"/>
  <c r="A50" i="6"/>
  <c r="A49" i="6"/>
  <c r="E44" i="6"/>
  <c r="A44" i="6"/>
  <c r="E43" i="6"/>
  <c r="A43" i="6"/>
  <c r="E42" i="6"/>
  <c r="A42" i="6"/>
  <c r="E41" i="6"/>
  <c r="A41" i="6"/>
  <c r="E40" i="6"/>
  <c r="A40" i="6"/>
  <c r="A36" i="6"/>
  <c r="A35" i="6"/>
  <c r="A34" i="6"/>
  <c r="A33" i="6"/>
  <c r="A32" i="6"/>
  <c r="A28" i="6"/>
  <c r="A27" i="6"/>
  <c r="A26" i="6"/>
  <c r="A25" i="6"/>
  <c r="A24" i="6"/>
  <c r="A20" i="6"/>
  <c r="A19" i="6"/>
  <c r="A18" i="6"/>
  <c r="A17" i="6"/>
  <c r="A16" i="6"/>
  <c r="C12" i="6"/>
  <c r="A12" i="6"/>
  <c r="C11" i="6"/>
  <c r="A11" i="6"/>
  <c r="C10" i="6"/>
  <c r="A10" i="6"/>
  <c r="C9" i="6"/>
  <c r="A9" i="6"/>
  <c r="C8" i="6"/>
  <c r="A8" i="6"/>
  <c r="W4" i="6"/>
  <c r="W5" i="6" s="1"/>
  <c r="V4" i="6"/>
  <c r="V5" i="6" s="1"/>
  <c r="U4" i="6"/>
  <c r="U5" i="6" s="1"/>
  <c r="T4" i="6"/>
  <c r="T5" i="6" s="1"/>
  <c r="S4" i="6"/>
  <c r="S5" i="6" s="1"/>
  <c r="R4" i="6"/>
  <c r="R5" i="6" s="1"/>
  <c r="Q4" i="6"/>
  <c r="Q5" i="6" s="1"/>
  <c r="P4" i="6"/>
  <c r="O4" i="6"/>
  <c r="N4" i="6"/>
  <c r="M4" i="6"/>
  <c r="L4" i="6"/>
  <c r="L5" i="6" s="1"/>
  <c r="K4" i="6"/>
  <c r="J4" i="6"/>
  <c r="I4" i="6"/>
  <c r="H4" i="6"/>
  <c r="H5" i="6" s="1"/>
  <c r="G4" i="6"/>
  <c r="G19" i="6" s="1"/>
  <c r="F4" i="6"/>
  <c r="F19" i="6" s="1"/>
  <c r="G25" i="5"/>
  <c r="C34" i="8" s="1"/>
  <c r="F25" i="5"/>
  <c r="C33" i="8" s="1"/>
  <c r="E25" i="5"/>
  <c r="C32" i="8" s="1"/>
  <c r="D25" i="5"/>
  <c r="C31" i="8" s="1"/>
  <c r="C25" i="5"/>
  <c r="C30" i="8" s="1"/>
  <c r="G19" i="5"/>
  <c r="F19" i="5"/>
  <c r="E19" i="5"/>
  <c r="D19" i="5"/>
  <c r="C19" i="5"/>
  <c r="G18" i="5"/>
  <c r="F18" i="5"/>
  <c r="E18" i="5"/>
  <c r="D18" i="5"/>
  <c r="C48" i="7" s="1"/>
  <c r="C18" i="5"/>
  <c r="G17" i="5"/>
  <c r="C45" i="7" s="1"/>
  <c r="F17" i="5"/>
  <c r="C44" i="7" s="1"/>
  <c r="E17" i="5"/>
  <c r="C43" i="7" s="1"/>
  <c r="D17" i="5"/>
  <c r="C42" i="7" s="1"/>
  <c r="C17" i="5"/>
  <c r="C41" i="7" s="1"/>
  <c r="G8" i="5"/>
  <c r="F8" i="5"/>
  <c r="E8" i="5"/>
  <c r="D8" i="5"/>
  <c r="C8" i="5"/>
  <c r="G4" i="5"/>
  <c r="B22" i="2" s="1"/>
  <c r="F4" i="5"/>
  <c r="B21" i="2" s="1"/>
  <c r="E4" i="5"/>
  <c r="B20" i="2" s="1"/>
  <c r="D4" i="5"/>
  <c r="B19" i="2" s="1"/>
  <c r="C4" i="5"/>
  <c r="B18" i="2" s="1"/>
  <c r="A29" i="4"/>
  <c r="A28" i="4"/>
  <c r="A27" i="4"/>
  <c r="C21" i="4"/>
  <c r="F10" i="4" s="1"/>
  <c r="C16" i="4" s="1"/>
  <c r="C20" i="4"/>
  <c r="G13" i="5" s="1"/>
  <c r="C27" i="7" s="1"/>
  <c r="C19" i="4"/>
  <c r="B73" i="3"/>
  <c r="A73" i="3" s="1"/>
  <c r="B72" i="3"/>
  <c r="A72" i="3" s="1"/>
  <c r="B71" i="3"/>
  <c r="A71" i="3" s="1"/>
  <c r="B70" i="3"/>
  <c r="A70" i="3"/>
  <c r="B69" i="3"/>
  <c r="A69" i="3"/>
  <c r="B68" i="3"/>
  <c r="A68" i="3"/>
  <c r="B67" i="3"/>
  <c r="A67" i="3" s="1"/>
  <c r="B66" i="3"/>
  <c r="A66" i="3"/>
  <c r="B65" i="3"/>
  <c r="A65" i="3" s="1"/>
  <c r="B64" i="3"/>
  <c r="A64" i="3" s="1"/>
  <c r="B63" i="3"/>
  <c r="A63" i="3"/>
  <c r="B62" i="3"/>
  <c r="A62" i="3" s="1"/>
  <c r="B61" i="3"/>
  <c r="A61" i="3" s="1"/>
  <c r="B60" i="3"/>
  <c r="A60" i="3"/>
  <c r="B59" i="3"/>
  <c r="A59" i="3" s="1"/>
  <c r="B58" i="3"/>
  <c r="A58" i="3"/>
  <c r="B57" i="3"/>
  <c r="A57" i="3" s="1"/>
  <c r="B56" i="3"/>
  <c r="A56" i="3" s="1"/>
  <c r="I2" i="2"/>
  <c r="F2" i="2"/>
  <c r="C2" i="2"/>
  <c r="E45" i="6" l="1"/>
  <c r="H5" i="8"/>
  <c r="H6" i="8" s="1"/>
  <c r="M5" i="8"/>
  <c r="M6" i="8" s="1"/>
  <c r="C50" i="7"/>
  <c r="C51" i="7"/>
  <c r="N5" i="8"/>
  <c r="N6" i="8" s="1"/>
  <c r="O5" i="8"/>
  <c r="O6" i="8" s="1"/>
  <c r="P36" i="8"/>
  <c r="P59" i="7" s="1"/>
  <c r="C49" i="7"/>
  <c r="I37" i="8"/>
  <c r="I60" i="7" s="1"/>
  <c r="J37" i="8"/>
  <c r="J60" i="7" s="1"/>
  <c r="K37" i="8"/>
  <c r="K60" i="7" s="1"/>
  <c r="L37" i="8"/>
  <c r="L60" i="7" s="1"/>
  <c r="G5" i="8"/>
  <c r="G6" i="8" s="1"/>
  <c r="F12" i="4"/>
  <c r="C18" i="4" s="1"/>
  <c r="C35" i="8" s="1"/>
  <c r="G6" i="5"/>
  <c r="F6" i="5"/>
  <c r="E6" i="5"/>
  <c r="D6" i="5"/>
  <c r="C6" i="5"/>
  <c r="F11" i="4"/>
  <c r="C17" i="4" s="1"/>
  <c r="V10" i="6" s="1"/>
  <c r="F20" i="6"/>
  <c r="F61" i="7"/>
  <c r="F18" i="6"/>
  <c r="F53" i="6"/>
  <c r="F52" i="6"/>
  <c r="F51" i="6"/>
  <c r="F50" i="6"/>
  <c r="F49" i="6"/>
  <c r="C13" i="5"/>
  <c r="C23" i="7" s="1"/>
  <c r="G18" i="6"/>
  <c r="G20" i="6"/>
  <c r="F16" i="6"/>
  <c r="F17" i="6"/>
  <c r="G44" i="7"/>
  <c r="G50" i="7"/>
  <c r="D13" i="5"/>
  <c r="C24" i="7" s="1"/>
  <c r="F5" i="6"/>
  <c r="G16" i="6"/>
  <c r="G17" i="6"/>
  <c r="B26" i="4"/>
  <c r="E13" i="5"/>
  <c r="C25" i="7" s="1"/>
  <c r="G5" i="6"/>
  <c r="F13" i="5"/>
  <c r="C26" i="7" s="1"/>
  <c r="G26" i="7" s="1"/>
  <c r="I5" i="6"/>
  <c r="J5" i="6"/>
  <c r="M5" i="6"/>
  <c r="K5" i="6"/>
  <c r="F44" i="7"/>
  <c r="F50" i="7"/>
  <c r="F9" i="4"/>
  <c r="C15" i="4" s="1"/>
  <c r="N5" i="6"/>
  <c r="O5" i="6"/>
  <c r="C47" i="7"/>
  <c r="P5" i="6"/>
  <c r="T37" i="8"/>
  <c r="T60" i="7" s="1"/>
  <c r="T5" i="8"/>
  <c r="T6" i="8" s="1"/>
  <c r="F37" i="8"/>
  <c r="F5" i="8"/>
  <c r="F6" i="8" s="1"/>
  <c r="V37" i="8"/>
  <c r="V60" i="7" s="1"/>
  <c r="V5" i="8"/>
  <c r="V6" i="8" s="1"/>
  <c r="P37" i="8"/>
  <c r="P60" i="7" s="1"/>
  <c r="U37" i="8"/>
  <c r="U60" i="7" s="1"/>
  <c r="U5" i="8"/>
  <c r="U6" i="8" s="1"/>
  <c r="L36" i="8"/>
  <c r="L59" i="7" s="1"/>
  <c r="K36" i="8"/>
  <c r="K59" i="7" s="1"/>
  <c r="J36" i="8"/>
  <c r="J59" i="7" s="1"/>
  <c r="I36" i="8"/>
  <c r="I59" i="7" s="1"/>
  <c r="H36" i="8"/>
  <c r="H59" i="7" s="1"/>
  <c r="W36" i="8"/>
  <c r="W59" i="7" s="1"/>
  <c r="G36" i="8"/>
  <c r="G59" i="7" s="1"/>
  <c r="V36" i="8"/>
  <c r="V59" i="7" s="1"/>
  <c r="F36" i="8"/>
  <c r="U36" i="8"/>
  <c r="U59" i="7" s="1"/>
  <c r="S36" i="8"/>
  <c r="S59" i="7" s="1"/>
  <c r="R36" i="8"/>
  <c r="R59" i="7" s="1"/>
  <c r="Q36" i="8"/>
  <c r="Q59" i="7" s="1"/>
  <c r="M36" i="8"/>
  <c r="M59" i="7" s="1"/>
  <c r="N36" i="8"/>
  <c r="N59" i="7" s="1"/>
  <c r="R5" i="8"/>
  <c r="R6" i="8" s="1"/>
  <c r="O36" i="8"/>
  <c r="O59" i="7" s="1"/>
  <c r="Q37" i="8"/>
  <c r="Q60" i="7" s="1"/>
  <c r="Q5" i="8"/>
  <c r="Q6" i="8" s="1"/>
  <c r="F26" i="7" l="1"/>
  <c r="H10" i="6"/>
  <c r="F54" i="6"/>
  <c r="J10" i="6"/>
  <c r="K12" i="6"/>
  <c r="M12" i="6"/>
  <c r="O11" i="6"/>
  <c r="F11" i="6"/>
  <c r="F27" i="6" s="1"/>
  <c r="F33" i="8" s="1"/>
  <c r="G11" i="6"/>
  <c r="T9" i="6"/>
  <c r="T12" i="6"/>
  <c r="N8" i="6"/>
  <c r="L10" i="6"/>
  <c r="W12" i="6"/>
  <c r="V61" i="6" s="1"/>
  <c r="P10" i="6"/>
  <c r="V9" i="6"/>
  <c r="H11" i="6"/>
  <c r="I11" i="6"/>
  <c r="K9" i="6"/>
  <c r="U12" i="6"/>
  <c r="L8" i="6"/>
  <c r="T11" i="6"/>
  <c r="G9" i="6"/>
  <c r="L12" i="6"/>
  <c r="F9" i="6"/>
  <c r="F25" i="6" s="1"/>
  <c r="F33" i="6" s="1"/>
  <c r="K10" i="6"/>
  <c r="J9" i="6"/>
  <c r="O8" i="6"/>
  <c r="H8" i="6"/>
  <c r="V12" i="6"/>
  <c r="S11" i="6"/>
  <c r="I8" i="6"/>
  <c r="F10" i="6"/>
  <c r="F26" i="6" s="1"/>
  <c r="F34" i="6" s="1"/>
  <c r="J12" i="6"/>
  <c r="G12" i="6"/>
  <c r="O10" i="6"/>
  <c r="N11" i="6"/>
  <c r="Q10" i="6"/>
  <c r="F12" i="6"/>
  <c r="F28" i="6" s="1"/>
  <c r="J8" i="6"/>
  <c r="V11" i="6"/>
  <c r="M9" i="6"/>
  <c r="P8" i="6"/>
  <c r="N10" i="6"/>
  <c r="F8" i="6"/>
  <c r="F24" i="6" s="1"/>
  <c r="F30" i="8" s="1"/>
  <c r="I10" i="6"/>
  <c r="M8" i="6"/>
  <c r="U9" i="6"/>
  <c r="I12" i="6"/>
  <c r="S9" i="6"/>
  <c r="M11" i="6"/>
  <c r="I9" i="6"/>
  <c r="J11" i="6"/>
  <c r="K8" i="6"/>
  <c r="K11" i="6"/>
  <c r="L11" i="6"/>
  <c r="G48" i="7"/>
  <c r="G42" i="7"/>
  <c r="G24" i="7"/>
  <c r="F41" i="7"/>
  <c r="F47" i="7"/>
  <c r="F21" i="6"/>
  <c r="F23" i="7"/>
  <c r="G45" i="7"/>
  <c r="G51" i="7"/>
  <c r="G27" i="7"/>
  <c r="C13" i="8"/>
  <c r="D22" i="2"/>
  <c r="G24" i="5"/>
  <c r="G37" i="5"/>
  <c r="G38" i="5" s="1"/>
  <c r="G26" i="5"/>
  <c r="G25" i="7"/>
  <c r="G49" i="7"/>
  <c r="G43" i="7"/>
  <c r="F45" i="7"/>
  <c r="F51" i="7"/>
  <c r="F27" i="7"/>
  <c r="G41" i="7"/>
  <c r="G47" i="7"/>
  <c r="G21" i="6"/>
  <c r="G23" i="7"/>
  <c r="C9" i="8"/>
  <c r="C37" i="5"/>
  <c r="C38" i="5" s="1"/>
  <c r="C26" i="5"/>
  <c r="C24" i="5"/>
  <c r="D18" i="2"/>
  <c r="D37" i="8"/>
  <c r="F60" i="7"/>
  <c r="D60" i="7" s="1"/>
  <c r="C11" i="8"/>
  <c r="D20" i="2"/>
  <c r="E24" i="5"/>
  <c r="E37" i="5"/>
  <c r="E38" i="5" s="1"/>
  <c r="E26" i="5"/>
  <c r="C12" i="8"/>
  <c r="F24" i="5"/>
  <c r="D21" i="2"/>
  <c r="F37" i="5"/>
  <c r="F38" i="5" s="1"/>
  <c r="F26" i="5"/>
  <c r="G36" i="5"/>
  <c r="J22" i="2" s="1"/>
  <c r="E36" i="5"/>
  <c r="J20" i="2" s="1"/>
  <c r="U8" i="6"/>
  <c r="R11" i="6"/>
  <c r="L9" i="6"/>
  <c r="P12" i="6"/>
  <c r="R8" i="6"/>
  <c r="G10" i="6"/>
  <c r="S10" i="6"/>
  <c r="O9" i="6"/>
  <c r="Q9" i="6"/>
  <c r="H12" i="6"/>
  <c r="R12" i="6"/>
  <c r="S8" i="6"/>
  <c r="H9" i="6"/>
  <c r="G8" i="6"/>
  <c r="Q12" i="6"/>
  <c r="O12" i="6"/>
  <c r="P9" i="6"/>
  <c r="U10" i="6"/>
  <c r="T8" i="6"/>
  <c r="C36" i="5"/>
  <c r="J18" i="2" s="1"/>
  <c r="W10" i="6"/>
  <c r="W8" i="6"/>
  <c r="Q11" i="6"/>
  <c r="W9" i="6"/>
  <c r="F36" i="5"/>
  <c r="J21" i="2" s="1"/>
  <c r="R9" i="6"/>
  <c r="D36" i="5"/>
  <c r="J19" i="2" s="1"/>
  <c r="T10" i="6"/>
  <c r="N12" i="6"/>
  <c r="P11" i="6"/>
  <c r="M10" i="6"/>
  <c r="N9" i="6"/>
  <c r="Q8" i="6"/>
  <c r="R10" i="6"/>
  <c r="D36" i="8"/>
  <c r="F59" i="7"/>
  <c r="D59" i="7" s="1"/>
  <c r="S12" i="6"/>
  <c r="W11" i="6"/>
  <c r="C10" i="8"/>
  <c r="D26" i="5"/>
  <c r="D19" i="2"/>
  <c r="D24" i="5"/>
  <c r="D37" i="5"/>
  <c r="D38" i="5" s="1"/>
  <c r="C9" i="5"/>
  <c r="C10" i="5" s="1"/>
  <c r="A3" i="5"/>
  <c r="G9" i="5"/>
  <c r="G10" i="5" s="1"/>
  <c r="F9" i="5"/>
  <c r="F10" i="5" s="1"/>
  <c r="E9" i="5"/>
  <c r="E10" i="5" s="1"/>
  <c r="D9" i="5"/>
  <c r="D10" i="5" s="1"/>
  <c r="F49" i="7"/>
  <c r="F25" i="7"/>
  <c r="F43" i="7"/>
  <c r="U11" i="6"/>
  <c r="V8" i="6"/>
  <c r="F48" i="7"/>
  <c r="F24" i="7"/>
  <c r="F42" i="7"/>
  <c r="F43" i="6" l="1"/>
  <c r="F35" i="6"/>
  <c r="U61" i="6"/>
  <c r="F12" i="8"/>
  <c r="H61" i="6"/>
  <c r="F32" i="6"/>
  <c r="N13" i="6"/>
  <c r="N61" i="6"/>
  <c r="S61" i="6"/>
  <c r="I13" i="6"/>
  <c r="K61" i="6"/>
  <c r="T61" i="6"/>
  <c r="J13" i="6"/>
  <c r="W61" i="6"/>
  <c r="J61" i="6"/>
  <c r="Q61" i="6"/>
  <c r="K13" i="6"/>
  <c r="I61" i="6"/>
  <c r="F40" i="6"/>
  <c r="G24" i="6" s="1"/>
  <c r="G32" i="6" s="1"/>
  <c r="F9" i="8"/>
  <c r="F24" i="8" s="1"/>
  <c r="M13" i="6"/>
  <c r="R61" i="6"/>
  <c r="F13" i="6"/>
  <c r="O13" i="6"/>
  <c r="L13" i="6"/>
  <c r="G46" i="7"/>
  <c r="D9" i="6"/>
  <c r="F29" i="6"/>
  <c r="F27" i="8"/>
  <c r="G14" i="5"/>
  <c r="G11" i="5"/>
  <c r="G13" i="6"/>
  <c r="G22" i="7"/>
  <c r="F34" i="8"/>
  <c r="F13" i="8"/>
  <c r="F44" i="6"/>
  <c r="G40" i="7"/>
  <c r="S13" i="6"/>
  <c r="M61" i="6"/>
  <c r="G61" i="6"/>
  <c r="C11" i="5"/>
  <c r="C12" i="5" s="1"/>
  <c r="C14" i="5"/>
  <c r="F41" i="6"/>
  <c r="F61" i="6"/>
  <c r="F36" i="6"/>
  <c r="F37" i="6" s="1"/>
  <c r="W13" i="6"/>
  <c r="Q57" i="6"/>
  <c r="W57" i="6"/>
  <c r="K57" i="6"/>
  <c r="M57" i="6"/>
  <c r="P57" i="6"/>
  <c r="H57" i="6"/>
  <c r="O57" i="6"/>
  <c r="V57" i="6"/>
  <c r="I57" i="6"/>
  <c r="F57" i="6"/>
  <c r="R57" i="6"/>
  <c r="N57" i="6"/>
  <c r="J57" i="6"/>
  <c r="L57" i="6"/>
  <c r="U57" i="6"/>
  <c r="G57" i="6"/>
  <c r="T57" i="6"/>
  <c r="S57" i="6"/>
  <c r="G27" i="6"/>
  <c r="D12" i="6"/>
  <c r="U59" i="6"/>
  <c r="M59" i="6"/>
  <c r="P59" i="6"/>
  <c r="Q59" i="6"/>
  <c r="S59" i="6"/>
  <c r="V59" i="6"/>
  <c r="G59" i="6"/>
  <c r="J59" i="6"/>
  <c r="R59" i="6"/>
  <c r="L59" i="6"/>
  <c r="H59" i="6"/>
  <c r="T59" i="6"/>
  <c r="O59" i="6"/>
  <c r="I59" i="6"/>
  <c r="F59" i="6"/>
  <c r="N59" i="6"/>
  <c r="K59" i="6"/>
  <c r="W59" i="6"/>
  <c r="R13" i="6"/>
  <c r="F46" i="7"/>
  <c r="L61" i="6"/>
  <c r="D8" i="6"/>
  <c r="T13" i="6"/>
  <c r="F10" i="8"/>
  <c r="F31" i="8"/>
  <c r="F11" i="8"/>
  <c r="F32" i="8"/>
  <c r="V13" i="6"/>
  <c r="F42" i="6"/>
  <c r="D10" i="6"/>
  <c r="K58" i="6"/>
  <c r="M58" i="6"/>
  <c r="N58" i="6"/>
  <c r="P58" i="6"/>
  <c r="F58" i="6"/>
  <c r="O58" i="6"/>
  <c r="U58" i="6"/>
  <c r="S58" i="6"/>
  <c r="J58" i="6"/>
  <c r="G58" i="6"/>
  <c r="L58" i="6"/>
  <c r="Q58" i="6"/>
  <c r="V58" i="6"/>
  <c r="H58" i="6"/>
  <c r="T58" i="6"/>
  <c r="I58" i="6"/>
  <c r="R58" i="6"/>
  <c r="W58" i="6"/>
  <c r="D11" i="5"/>
  <c r="D12" i="5" s="1"/>
  <c r="D14" i="5"/>
  <c r="G60" i="6"/>
  <c r="W60" i="6"/>
  <c r="F60" i="6"/>
  <c r="F67" i="6" s="1"/>
  <c r="O60" i="6"/>
  <c r="S60" i="6"/>
  <c r="J60" i="6"/>
  <c r="P60" i="6"/>
  <c r="H60" i="6"/>
  <c r="T60" i="6"/>
  <c r="R60" i="6"/>
  <c r="U60" i="6"/>
  <c r="Q60" i="6"/>
  <c r="I60" i="6"/>
  <c r="V60" i="6"/>
  <c r="K60" i="6"/>
  <c r="L60" i="6"/>
  <c r="M60" i="6"/>
  <c r="N60" i="6"/>
  <c r="Q13" i="6"/>
  <c r="U13" i="6"/>
  <c r="F22" i="7"/>
  <c r="F40" i="7"/>
  <c r="P61" i="6"/>
  <c r="E14" i="5"/>
  <c r="E11" i="5"/>
  <c r="E12" i="5" s="1"/>
  <c r="H13" i="6"/>
  <c r="O61" i="6"/>
  <c r="F11" i="5"/>
  <c r="F12" i="5" s="1"/>
  <c r="F21" i="5" s="1"/>
  <c r="F14" i="5"/>
  <c r="P13" i="6"/>
  <c r="D11" i="6"/>
  <c r="F64" i="6" l="1"/>
  <c r="F71" i="6" s="1"/>
  <c r="G40" i="6"/>
  <c r="F66" i="6"/>
  <c r="F73" i="6" s="1"/>
  <c r="D13" i="6"/>
  <c r="D21" i="5"/>
  <c r="C50" i="6" s="1"/>
  <c r="C21" i="5"/>
  <c r="C17" i="7" s="1"/>
  <c r="G25" i="6"/>
  <c r="G41" i="6" s="1"/>
  <c r="C15" i="5"/>
  <c r="C29" i="7" s="1"/>
  <c r="G28" i="6"/>
  <c r="G44" i="6" s="1"/>
  <c r="G12" i="5"/>
  <c r="G21" i="5" s="1"/>
  <c r="F28" i="8"/>
  <c r="G15" i="5"/>
  <c r="C33" i="7" s="1"/>
  <c r="F74" i="6"/>
  <c r="F25" i="8"/>
  <c r="F45" i="6"/>
  <c r="F8" i="8"/>
  <c r="G30" i="8"/>
  <c r="G9" i="8"/>
  <c r="E15" i="5"/>
  <c r="C31" i="7" s="1"/>
  <c r="G33" i="8"/>
  <c r="G12" i="8"/>
  <c r="G35" i="6"/>
  <c r="E21" i="5"/>
  <c r="F15" i="5"/>
  <c r="C32" i="7" s="1"/>
  <c r="D15" i="5"/>
  <c r="C30" i="7" s="1"/>
  <c r="G26" i="6"/>
  <c r="C52" i="6"/>
  <c r="C20" i="7"/>
  <c r="F68" i="6"/>
  <c r="G43" i="6"/>
  <c r="F65" i="6"/>
  <c r="F26" i="8"/>
  <c r="F29" i="8"/>
  <c r="C18" i="7" l="1"/>
  <c r="C49" i="6"/>
  <c r="D16" i="5"/>
  <c r="C36" i="7" s="1"/>
  <c r="G36" i="7" s="1"/>
  <c r="F23" i="8"/>
  <c r="G29" i="6"/>
  <c r="C21" i="7"/>
  <c r="C53" i="6"/>
  <c r="F17" i="7"/>
  <c r="F53" i="7"/>
  <c r="G49" i="6"/>
  <c r="H16" i="6"/>
  <c r="F30" i="7"/>
  <c r="G30" i="7"/>
  <c r="C16" i="5"/>
  <c r="C35" i="7" s="1"/>
  <c r="F32" i="7"/>
  <c r="G32" i="7"/>
  <c r="G42" i="6"/>
  <c r="F56" i="7"/>
  <c r="F20" i="7"/>
  <c r="G52" i="6"/>
  <c r="G67" i="6" s="1"/>
  <c r="H19" i="6"/>
  <c r="H27" i="6" s="1"/>
  <c r="G33" i="7"/>
  <c r="F33" i="7"/>
  <c r="G13" i="8"/>
  <c r="G34" i="8"/>
  <c r="G36" i="6"/>
  <c r="G16" i="5"/>
  <c r="C39" i="7" s="1"/>
  <c r="D20" i="5"/>
  <c r="C51" i="6"/>
  <c r="C19" i="7"/>
  <c r="F19" i="7" s="1"/>
  <c r="F36" i="7"/>
  <c r="G11" i="8"/>
  <c r="G32" i="8"/>
  <c r="G34" i="6"/>
  <c r="G24" i="8"/>
  <c r="G31" i="7"/>
  <c r="F31" i="7"/>
  <c r="E16" i="5"/>
  <c r="F29" i="7"/>
  <c r="G29" i="7"/>
  <c r="F35" i="8"/>
  <c r="F12" i="7"/>
  <c r="F41" i="8"/>
  <c r="F72" i="6"/>
  <c r="G27" i="8"/>
  <c r="F75" i="6"/>
  <c r="F16" i="5"/>
  <c r="C38" i="7" s="1"/>
  <c r="F55" i="7"/>
  <c r="G51" i="6"/>
  <c r="H18" i="6"/>
  <c r="G10" i="8"/>
  <c r="G31" i="8"/>
  <c r="G33" i="6"/>
  <c r="G8" i="8" l="1"/>
  <c r="G35" i="8" s="1"/>
  <c r="G58" i="7" s="1"/>
  <c r="C20" i="5"/>
  <c r="C22" i="5" s="1"/>
  <c r="G20" i="5"/>
  <c r="C19" i="8" s="1"/>
  <c r="G28" i="7"/>
  <c r="G74" i="6"/>
  <c r="D52" i="8"/>
  <c r="G41" i="8"/>
  <c r="H33" i="8"/>
  <c r="H12" i="8"/>
  <c r="H35" i="6"/>
  <c r="F21" i="7"/>
  <c r="F57" i="7"/>
  <c r="H20" i="6"/>
  <c r="G53" i="6"/>
  <c r="G68" i="6" s="1"/>
  <c r="H43" i="6"/>
  <c r="F58" i="7"/>
  <c r="F38" i="7"/>
  <c r="G38" i="7"/>
  <c r="F76" i="6"/>
  <c r="C16" i="8"/>
  <c r="C41" i="6"/>
  <c r="E19" i="2"/>
  <c r="D22" i="5"/>
  <c r="D27" i="5"/>
  <c r="D28" i="5" s="1"/>
  <c r="D29" i="5" s="1"/>
  <c r="D31" i="5" s="1"/>
  <c r="D33" i="5"/>
  <c r="G37" i="6"/>
  <c r="F54" i="7"/>
  <c r="F18" i="7"/>
  <c r="H17" i="6"/>
  <c r="G50" i="6"/>
  <c r="G65" i="6" s="1"/>
  <c r="H26" i="6"/>
  <c r="H42" i="6" s="1"/>
  <c r="G45" i="6"/>
  <c r="G66" i="6"/>
  <c r="G26" i="8"/>
  <c r="C33" i="5"/>
  <c r="H50" i="7"/>
  <c r="H26" i="7"/>
  <c r="H38" i="7"/>
  <c r="H32" i="7"/>
  <c r="H44" i="7"/>
  <c r="G64" i="6"/>
  <c r="H47" i="7"/>
  <c r="H35" i="7"/>
  <c r="H29" i="7"/>
  <c r="H41" i="7"/>
  <c r="H23" i="7"/>
  <c r="H24" i="6"/>
  <c r="H40" i="6" s="1"/>
  <c r="F28" i="7"/>
  <c r="F20" i="5"/>
  <c r="G25" i="8"/>
  <c r="H43" i="7"/>
  <c r="H49" i="7"/>
  <c r="H31" i="7"/>
  <c r="H25" i="7"/>
  <c r="F13" i="7"/>
  <c r="G35" i="7"/>
  <c r="F35" i="7"/>
  <c r="G28" i="8"/>
  <c r="C37" i="7"/>
  <c r="E20" i="5"/>
  <c r="G29" i="8"/>
  <c r="G39" i="7"/>
  <c r="F39" i="7"/>
  <c r="C27" i="5" l="1"/>
  <c r="C28" i="5" s="1"/>
  <c r="C29" i="5" s="1"/>
  <c r="C31" i="5" s="1"/>
  <c r="C39" i="5" s="1"/>
  <c r="I18" i="2" s="1"/>
  <c r="E18" i="2"/>
  <c r="C15" i="8"/>
  <c r="C40" i="6"/>
  <c r="G27" i="5"/>
  <c r="G28" i="5" s="1"/>
  <c r="G29" i="5" s="1"/>
  <c r="G31" i="5" s="1"/>
  <c r="F22" i="2" s="1"/>
  <c r="G33" i="5"/>
  <c r="G22" i="5"/>
  <c r="E22" i="2"/>
  <c r="F52" i="7"/>
  <c r="F38" i="8" s="1"/>
  <c r="C44" i="6"/>
  <c r="G54" i="6"/>
  <c r="H21" i="6"/>
  <c r="G23" i="8"/>
  <c r="G12" i="7" s="1"/>
  <c r="F15" i="8"/>
  <c r="G15" i="8"/>
  <c r="C17" i="8"/>
  <c r="E22" i="5"/>
  <c r="E20" i="2"/>
  <c r="C42" i="6"/>
  <c r="E33" i="5"/>
  <c r="E27" i="5"/>
  <c r="E28" i="5" s="1"/>
  <c r="E29" i="5" s="1"/>
  <c r="E31" i="5" s="1"/>
  <c r="G73" i="6"/>
  <c r="F37" i="7"/>
  <c r="G37" i="7"/>
  <c r="G34" i="7" s="1"/>
  <c r="G72" i="6"/>
  <c r="G71" i="6"/>
  <c r="F16" i="8"/>
  <c r="G16" i="8"/>
  <c r="C18" i="8"/>
  <c r="C43" i="6"/>
  <c r="E21" i="2"/>
  <c r="F22" i="5"/>
  <c r="F33" i="5"/>
  <c r="F27" i="5"/>
  <c r="F28" i="5" s="1"/>
  <c r="F29" i="5" s="1"/>
  <c r="F31" i="5" s="1"/>
  <c r="H27" i="8"/>
  <c r="H11" i="8"/>
  <c r="H32" i="8"/>
  <c r="H34" i="6"/>
  <c r="G75" i="6"/>
  <c r="H30" i="8"/>
  <c r="H9" i="8"/>
  <c r="H15" i="8"/>
  <c r="H32" i="6"/>
  <c r="H37" i="7"/>
  <c r="D40" i="5"/>
  <c r="D32" i="5"/>
  <c r="G19" i="2" s="1"/>
  <c r="D34" i="5"/>
  <c r="H19" i="2" s="1"/>
  <c r="F19" i="2"/>
  <c r="D39" i="5"/>
  <c r="I19" i="2" s="1"/>
  <c r="H51" i="7"/>
  <c r="H39" i="7"/>
  <c r="H27" i="7"/>
  <c r="H45" i="7"/>
  <c r="H33" i="7"/>
  <c r="H28" i="6"/>
  <c r="F19" i="8"/>
  <c r="G19" i="8"/>
  <c r="H48" i="7"/>
  <c r="H36" i="7"/>
  <c r="H30" i="7"/>
  <c r="H24" i="7"/>
  <c r="H42" i="7"/>
  <c r="H25" i="6"/>
  <c r="F16" i="7"/>
  <c r="G20" i="7"/>
  <c r="G56" i="7"/>
  <c r="I19" i="6"/>
  <c r="H52" i="6"/>
  <c r="H67" i="6" s="1"/>
  <c r="C32" i="5" l="1"/>
  <c r="G18" i="2" s="1"/>
  <c r="F18" i="2"/>
  <c r="C40" i="5"/>
  <c r="C34" i="5"/>
  <c r="H18" i="2" s="1"/>
  <c r="G32" i="5"/>
  <c r="G22" i="2" s="1"/>
  <c r="G40" i="5"/>
  <c r="G39" i="5"/>
  <c r="I22" i="2" s="1"/>
  <c r="G34" i="5"/>
  <c r="H22" i="2" s="1"/>
  <c r="E46" i="6"/>
  <c r="H40" i="7"/>
  <c r="H34" i="7"/>
  <c r="H29" i="6"/>
  <c r="H41" i="6"/>
  <c r="H74" i="6"/>
  <c r="H13" i="8"/>
  <c r="H34" i="8"/>
  <c r="H19" i="8"/>
  <c r="H36" i="6"/>
  <c r="H44" i="6"/>
  <c r="E39" i="5"/>
  <c r="I20" i="2" s="1"/>
  <c r="F20" i="2"/>
  <c r="E40" i="5"/>
  <c r="E32" i="5"/>
  <c r="G20" i="2" s="1"/>
  <c r="E34" i="5"/>
  <c r="H20" i="2" s="1"/>
  <c r="H24" i="8"/>
  <c r="G54" i="7"/>
  <c r="G18" i="7"/>
  <c r="I17" i="6"/>
  <c r="H50" i="6"/>
  <c r="H65" i="6" s="1"/>
  <c r="G13" i="7"/>
  <c r="F17" i="8"/>
  <c r="G17" i="8"/>
  <c r="I50" i="7"/>
  <c r="I26" i="7"/>
  <c r="I38" i="7"/>
  <c r="I44" i="7"/>
  <c r="I32" i="7"/>
  <c r="G46" i="6"/>
  <c r="I27" i="6"/>
  <c r="H28" i="7"/>
  <c r="F32" i="5"/>
  <c r="G21" i="2" s="1"/>
  <c r="F39" i="5"/>
  <c r="I21" i="2" s="1"/>
  <c r="F40" i="5"/>
  <c r="F34" i="5"/>
  <c r="H21" i="2" s="1"/>
  <c r="F21" i="2"/>
  <c r="H17" i="8"/>
  <c r="F46" i="6"/>
  <c r="H26" i="8"/>
  <c r="D81" i="7"/>
  <c r="H46" i="7"/>
  <c r="G55" i="7"/>
  <c r="G19" i="7"/>
  <c r="H51" i="6"/>
  <c r="H66" i="6" s="1"/>
  <c r="I18" i="6"/>
  <c r="H10" i="8"/>
  <c r="H16" i="8"/>
  <c r="H31" i="8"/>
  <c r="H33" i="6"/>
  <c r="H22" i="7"/>
  <c r="G53" i="7"/>
  <c r="G76" i="6"/>
  <c r="G17" i="7"/>
  <c r="H49" i="6"/>
  <c r="I16" i="6"/>
  <c r="G21" i="7"/>
  <c r="G57" i="7"/>
  <c r="I20" i="6"/>
  <c r="H53" i="6"/>
  <c r="F34" i="7"/>
  <c r="F62" i="7" s="1"/>
  <c r="F18" i="8"/>
  <c r="G18" i="8"/>
  <c r="H18" i="8"/>
  <c r="H45" i="6" l="1"/>
  <c r="G14" i="8"/>
  <c r="G20" i="8" s="1"/>
  <c r="G21" i="8" s="1"/>
  <c r="H37" i="6"/>
  <c r="I25" i="6"/>
  <c r="I41" i="6" s="1"/>
  <c r="H29" i="8"/>
  <c r="F64" i="7"/>
  <c r="H73" i="6"/>
  <c r="H14" i="8"/>
  <c r="H54" i="6"/>
  <c r="H64" i="6"/>
  <c r="G16" i="7"/>
  <c r="F14" i="8"/>
  <c r="H28" i="8"/>
  <c r="I10" i="8"/>
  <c r="I25" i="8" s="1"/>
  <c r="I16" i="8"/>
  <c r="I31" i="8"/>
  <c r="I49" i="7"/>
  <c r="I25" i="7"/>
  <c r="I31" i="7"/>
  <c r="I43" i="7"/>
  <c r="I37" i="7"/>
  <c r="I26" i="6"/>
  <c r="I42" i="6" s="1"/>
  <c r="G52" i="7"/>
  <c r="H72" i="6"/>
  <c r="I33" i="8"/>
  <c r="I18" i="8"/>
  <c r="I12" i="8"/>
  <c r="I35" i="6"/>
  <c r="I35" i="7"/>
  <c r="I47" i="7"/>
  <c r="I29" i="7"/>
  <c r="I21" i="6"/>
  <c r="I41" i="7"/>
  <c r="I23" i="7"/>
  <c r="I24" i="6"/>
  <c r="I40" i="6" s="1"/>
  <c r="I42" i="7"/>
  <c r="I48" i="7"/>
  <c r="I30" i="7"/>
  <c r="I24" i="7"/>
  <c r="I36" i="7"/>
  <c r="H56" i="7"/>
  <c r="H20" i="7"/>
  <c r="I52" i="6"/>
  <c r="J19" i="6"/>
  <c r="H25" i="8"/>
  <c r="H8" i="8"/>
  <c r="I51" i="7"/>
  <c r="I39" i="7"/>
  <c r="I33" i="7"/>
  <c r="I27" i="7"/>
  <c r="I45" i="7"/>
  <c r="I43" i="6"/>
  <c r="I28" i="6"/>
  <c r="I44" i="6" s="1"/>
  <c r="H68" i="6"/>
  <c r="H46" i="6"/>
  <c r="I33" i="6" l="1"/>
  <c r="J44" i="7"/>
  <c r="J38" i="7"/>
  <c r="J50" i="7"/>
  <c r="J32" i="7"/>
  <c r="J26" i="7"/>
  <c r="I46" i="6"/>
  <c r="I45" i="6"/>
  <c r="I40" i="7"/>
  <c r="I28" i="7"/>
  <c r="I17" i="8"/>
  <c r="I32" i="8"/>
  <c r="I11" i="8"/>
  <c r="I34" i="6"/>
  <c r="I34" i="7"/>
  <c r="F20" i="8"/>
  <c r="I27" i="8"/>
  <c r="J27" i="6"/>
  <c r="I67" i="6"/>
  <c r="H55" i="7"/>
  <c r="H19" i="7"/>
  <c r="J18" i="6"/>
  <c r="J26" i="6" s="1"/>
  <c r="I51" i="6"/>
  <c r="I66" i="6" s="1"/>
  <c r="H71" i="6"/>
  <c r="G38" i="8"/>
  <c r="I22" i="7"/>
  <c r="H75" i="6"/>
  <c r="F68" i="7"/>
  <c r="F65" i="7"/>
  <c r="I46" i="7"/>
  <c r="H20" i="8"/>
  <c r="H35" i="8"/>
  <c r="H41" i="8"/>
  <c r="H23" i="8"/>
  <c r="I13" i="8"/>
  <c r="I19" i="8"/>
  <c r="I34" i="8"/>
  <c r="I36" i="6"/>
  <c r="I30" i="8"/>
  <c r="I9" i="8"/>
  <c r="I15" i="8"/>
  <c r="I29" i="6"/>
  <c r="I32" i="6"/>
  <c r="H18" i="7"/>
  <c r="H54" i="7"/>
  <c r="I50" i="6"/>
  <c r="I65" i="6" s="1"/>
  <c r="J17" i="6"/>
  <c r="I72" i="6" l="1"/>
  <c r="J17" i="8"/>
  <c r="J32" i="8"/>
  <c r="J11" i="8"/>
  <c r="J26" i="8" s="1"/>
  <c r="J34" i="6"/>
  <c r="H57" i="7"/>
  <c r="H21" i="7"/>
  <c r="J20" i="6"/>
  <c r="I53" i="6"/>
  <c r="I68" i="6" s="1"/>
  <c r="I26" i="8"/>
  <c r="I74" i="6"/>
  <c r="H58" i="7"/>
  <c r="G39" i="8"/>
  <c r="I37" i="6"/>
  <c r="I29" i="8"/>
  <c r="I28" i="8"/>
  <c r="H17" i="7"/>
  <c r="H76" i="6"/>
  <c r="H53" i="7"/>
  <c r="I49" i="6"/>
  <c r="J16" i="6"/>
  <c r="F21" i="8"/>
  <c r="F39" i="8"/>
  <c r="J42" i="7"/>
  <c r="J30" i="7"/>
  <c r="J24" i="7"/>
  <c r="J36" i="7"/>
  <c r="J48" i="7"/>
  <c r="J12" i="8"/>
  <c r="J33" i="8"/>
  <c r="J18" i="8"/>
  <c r="J35" i="6"/>
  <c r="J43" i="6"/>
  <c r="H12" i="7"/>
  <c r="H21" i="8"/>
  <c r="I14" i="8"/>
  <c r="I73" i="6"/>
  <c r="F66" i="7"/>
  <c r="F71" i="7"/>
  <c r="F67" i="7"/>
  <c r="F72" i="7"/>
  <c r="G7" i="7"/>
  <c r="J43" i="7"/>
  <c r="J25" i="7"/>
  <c r="J49" i="7"/>
  <c r="J37" i="7"/>
  <c r="J31" i="7"/>
  <c r="J42" i="6"/>
  <c r="I24" i="8"/>
  <c r="I8" i="8"/>
  <c r="J25" i="6"/>
  <c r="I75" i="6" l="1"/>
  <c r="F42" i="8"/>
  <c r="F43" i="8" s="1"/>
  <c r="F45" i="8" s="1"/>
  <c r="G42" i="8"/>
  <c r="G43" i="8" s="1"/>
  <c r="J51" i="7"/>
  <c r="J39" i="7"/>
  <c r="J45" i="7"/>
  <c r="J27" i="7"/>
  <c r="J33" i="7"/>
  <c r="J28" i="6"/>
  <c r="J44" i="6" s="1"/>
  <c r="J35" i="7"/>
  <c r="J29" i="7"/>
  <c r="J41" i="7"/>
  <c r="J21" i="6"/>
  <c r="J23" i="7"/>
  <c r="J47" i="7"/>
  <c r="J24" i="6"/>
  <c r="I54" i="6"/>
  <c r="I64" i="6"/>
  <c r="J10" i="8"/>
  <c r="J16" i="8"/>
  <c r="J31" i="8"/>
  <c r="J33" i="6"/>
  <c r="H52" i="7"/>
  <c r="I23" i="8"/>
  <c r="I12" i="7" s="1"/>
  <c r="I13" i="7" s="1"/>
  <c r="H13" i="7"/>
  <c r="J41" i="6"/>
  <c r="J27" i="8"/>
  <c r="H16" i="7"/>
  <c r="I20" i="7"/>
  <c r="I56" i="7"/>
  <c r="K19" i="6"/>
  <c r="J52" i="6"/>
  <c r="J67" i="6" s="1"/>
  <c r="I20" i="8"/>
  <c r="I35" i="8"/>
  <c r="I41" i="8"/>
  <c r="I55" i="7"/>
  <c r="I19" i="7"/>
  <c r="K18" i="6"/>
  <c r="K26" i="6" s="1"/>
  <c r="K42" i="6" s="1"/>
  <c r="J51" i="6"/>
  <c r="J66" i="6" s="1"/>
  <c r="I54" i="7"/>
  <c r="I18" i="7"/>
  <c r="J50" i="6"/>
  <c r="K17" i="6"/>
  <c r="F46" i="8" l="1"/>
  <c r="G61" i="7"/>
  <c r="G62" i="7" s="1"/>
  <c r="G64" i="7" s="1"/>
  <c r="G45" i="8"/>
  <c r="H61" i="7" s="1"/>
  <c r="H62" i="7" s="1"/>
  <c r="J74" i="6"/>
  <c r="J28" i="7"/>
  <c r="K38" i="7"/>
  <c r="K32" i="7"/>
  <c r="K50" i="7"/>
  <c r="K44" i="7"/>
  <c r="K26" i="7"/>
  <c r="J30" i="8"/>
  <c r="J9" i="8"/>
  <c r="J15" i="8"/>
  <c r="J29" i="6"/>
  <c r="J32" i="6"/>
  <c r="J73" i="6"/>
  <c r="J25" i="8"/>
  <c r="I21" i="8"/>
  <c r="J40" i="6"/>
  <c r="J34" i="7"/>
  <c r="J46" i="7"/>
  <c r="K25" i="6"/>
  <c r="J65" i="6"/>
  <c r="I58" i="7"/>
  <c r="H38" i="8"/>
  <c r="J22" i="7"/>
  <c r="F48" i="8"/>
  <c r="F47" i="8"/>
  <c r="K31" i="7"/>
  <c r="K25" i="7"/>
  <c r="K43" i="7"/>
  <c r="K37" i="7"/>
  <c r="K49" i="7"/>
  <c r="I71" i="6"/>
  <c r="K27" i="6"/>
  <c r="K17" i="8"/>
  <c r="K32" i="8"/>
  <c r="K11" i="8"/>
  <c r="K34" i="6"/>
  <c r="J13" i="8"/>
  <c r="J34" i="8"/>
  <c r="J19" i="8"/>
  <c r="J36" i="6"/>
  <c r="K30" i="7"/>
  <c r="K24" i="7"/>
  <c r="K36" i="7"/>
  <c r="K48" i="7"/>
  <c r="K42" i="7"/>
  <c r="J40" i="7"/>
  <c r="I21" i="7"/>
  <c r="I57" i="7"/>
  <c r="K20" i="6"/>
  <c r="K28" i="6" s="1"/>
  <c r="J53" i="6"/>
  <c r="J68" i="6" s="1"/>
  <c r="G68" i="7" l="1"/>
  <c r="G65" i="7"/>
  <c r="G46" i="8"/>
  <c r="G48" i="8" s="1"/>
  <c r="K12" i="8"/>
  <c r="K27" i="8" s="1"/>
  <c r="K33" i="8"/>
  <c r="K18" i="8"/>
  <c r="K35" i="6"/>
  <c r="J55" i="7"/>
  <c r="J19" i="7"/>
  <c r="L18" i="6"/>
  <c r="K51" i="6"/>
  <c r="K66" i="6" s="1"/>
  <c r="K73" i="6" s="1"/>
  <c r="J72" i="6"/>
  <c r="K43" i="6"/>
  <c r="H39" i="8"/>
  <c r="I17" i="7"/>
  <c r="I76" i="6"/>
  <c r="I53" i="7"/>
  <c r="J49" i="6"/>
  <c r="J54" i="6" s="1"/>
  <c r="K16" i="6"/>
  <c r="K24" i="6" s="1"/>
  <c r="K40" i="6" s="1"/>
  <c r="K16" i="8"/>
  <c r="K31" i="8"/>
  <c r="K10" i="8"/>
  <c r="K25" i="8" s="1"/>
  <c r="K33" i="6"/>
  <c r="J20" i="7"/>
  <c r="J56" i="7"/>
  <c r="L19" i="6"/>
  <c r="K52" i="6"/>
  <c r="K13" i="8"/>
  <c r="K28" i="8" s="1"/>
  <c r="K19" i="8"/>
  <c r="K34" i="8"/>
  <c r="K36" i="6"/>
  <c r="K44" i="6"/>
  <c r="K41" i="6"/>
  <c r="J8" i="8"/>
  <c r="J24" i="8"/>
  <c r="K45" i="7"/>
  <c r="K51" i="7"/>
  <c r="K39" i="7"/>
  <c r="K33" i="7"/>
  <c r="K27" i="7"/>
  <c r="J29" i="8"/>
  <c r="J75" i="6"/>
  <c r="J37" i="6"/>
  <c r="J28" i="8"/>
  <c r="J14" i="8"/>
  <c r="J46" i="6"/>
  <c r="J45" i="6"/>
  <c r="K26" i="8"/>
  <c r="H64" i="7"/>
  <c r="G67" i="7" l="1"/>
  <c r="G66" i="7"/>
  <c r="G71" i="7"/>
  <c r="G72" i="7"/>
  <c r="H7" i="7"/>
  <c r="G47" i="8"/>
  <c r="J64" i="6"/>
  <c r="J71" i="6" s="1"/>
  <c r="K46" i="6"/>
  <c r="K45" i="6"/>
  <c r="I16" i="7"/>
  <c r="J54" i="7"/>
  <c r="J18" i="7"/>
  <c r="L17" i="6"/>
  <c r="K50" i="6"/>
  <c r="K65" i="6" s="1"/>
  <c r="K72" i="6" s="1"/>
  <c r="K55" i="7"/>
  <c r="K19" i="7"/>
  <c r="L51" i="6"/>
  <c r="M18" i="6"/>
  <c r="L25" i="7"/>
  <c r="L37" i="7"/>
  <c r="L43" i="7"/>
  <c r="L49" i="7"/>
  <c r="L31" i="7"/>
  <c r="L26" i="6"/>
  <c r="J23" i="8"/>
  <c r="J12" i="7" s="1"/>
  <c r="J20" i="8"/>
  <c r="J35" i="8"/>
  <c r="J41" i="8"/>
  <c r="K9" i="8"/>
  <c r="K15" i="8"/>
  <c r="K30" i="8"/>
  <c r="K29" i="8" s="1"/>
  <c r="K29" i="6"/>
  <c r="K32" i="6"/>
  <c r="K37" i="6" s="1"/>
  <c r="L27" i="6"/>
  <c r="K67" i="6"/>
  <c r="K74" i="6" s="1"/>
  <c r="H65" i="7"/>
  <c r="H68" i="7"/>
  <c r="H42" i="8"/>
  <c r="H43" i="8" s="1"/>
  <c r="H45" i="8" s="1"/>
  <c r="K35" i="7"/>
  <c r="K29" i="7"/>
  <c r="K21" i="6"/>
  <c r="K23" i="7"/>
  <c r="K41" i="7"/>
  <c r="K47" i="7"/>
  <c r="L38" i="7"/>
  <c r="L32" i="7"/>
  <c r="L50" i="7"/>
  <c r="L44" i="7"/>
  <c r="L26" i="7"/>
  <c r="J21" i="7"/>
  <c r="J57" i="7"/>
  <c r="L20" i="6"/>
  <c r="L28" i="6" s="1"/>
  <c r="K53" i="6"/>
  <c r="K68" i="6" s="1"/>
  <c r="K75" i="6" s="1"/>
  <c r="I52" i="7"/>
  <c r="H46" i="8" l="1"/>
  <c r="H48" i="8" s="1"/>
  <c r="I61" i="7"/>
  <c r="I62" i="7" s="1"/>
  <c r="K54" i="7"/>
  <c r="K18" i="7"/>
  <c r="L50" i="6"/>
  <c r="M17" i="6"/>
  <c r="M25" i="7"/>
  <c r="M37" i="7"/>
  <c r="M43" i="7"/>
  <c r="M31" i="7"/>
  <c r="M49" i="7"/>
  <c r="L12" i="8"/>
  <c r="L27" i="8" s="1"/>
  <c r="L18" i="8"/>
  <c r="L33" i="8"/>
  <c r="L35" i="6"/>
  <c r="J13" i="7"/>
  <c r="L24" i="7"/>
  <c r="L30" i="7"/>
  <c r="L42" i="7"/>
  <c r="L48" i="7"/>
  <c r="L36" i="7"/>
  <c r="I38" i="8"/>
  <c r="K40" i="7"/>
  <c r="K24" i="8"/>
  <c r="K23" i="8" s="1"/>
  <c r="K8" i="8"/>
  <c r="K57" i="7"/>
  <c r="K21" i="7"/>
  <c r="L53" i="6"/>
  <c r="M20" i="6"/>
  <c r="L17" i="8"/>
  <c r="L32" i="8"/>
  <c r="L11" i="8"/>
  <c r="L26" i="8" s="1"/>
  <c r="L34" i="6"/>
  <c r="K14" i="8"/>
  <c r="L19" i="8"/>
  <c r="L34" i="8"/>
  <c r="L13" i="8"/>
  <c r="L28" i="8" s="1"/>
  <c r="L36" i="6"/>
  <c r="L42" i="6"/>
  <c r="L43" i="6"/>
  <c r="J58" i="7"/>
  <c r="K22" i="7"/>
  <c r="K34" i="7"/>
  <c r="K28" i="7"/>
  <c r="J17" i="7"/>
  <c r="J53" i="7"/>
  <c r="J76" i="6"/>
  <c r="K49" i="6"/>
  <c r="L16" i="6"/>
  <c r="L39" i="7"/>
  <c r="L33" i="7"/>
  <c r="L51" i="7"/>
  <c r="L45" i="7"/>
  <c r="L27" i="7"/>
  <c r="H47" i="8"/>
  <c r="H66" i="7"/>
  <c r="H71" i="7"/>
  <c r="H67" i="7"/>
  <c r="I7" i="7"/>
  <c r="H72" i="7"/>
  <c r="K56" i="7"/>
  <c r="K20" i="7"/>
  <c r="L52" i="6"/>
  <c r="M19" i="6"/>
  <c r="L44" i="6"/>
  <c r="L25" i="6"/>
  <c r="L41" i="6" s="1"/>
  <c r="J21" i="8"/>
  <c r="K46" i="7"/>
  <c r="K54" i="6" l="1"/>
  <c r="K64" i="6"/>
  <c r="K71" i="6" s="1"/>
  <c r="M27" i="7"/>
  <c r="M39" i="7"/>
  <c r="M33" i="7"/>
  <c r="M51" i="7"/>
  <c r="M45" i="7"/>
  <c r="L35" i="7"/>
  <c r="L29" i="7"/>
  <c r="L23" i="7"/>
  <c r="L22" i="7" s="1"/>
  <c r="L47" i="7"/>
  <c r="L46" i="7" s="1"/>
  <c r="L21" i="6"/>
  <c r="L41" i="7"/>
  <c r="L40" i="7" s="1"/>
  <c r="L24" i="6"/>
  <c r="M27" i="6"/>
  <c r="L67" i="6"/>
  <c r="L74" i="6" s="1"/>
  <c r="M26" i="6"/>
  <c r="L66" i="6"/>
  <c r="L73" i="6" s="1"/>
  <c r="J16" i="7"/>
  <c r="I39" i="8"/>
  <c r="M24" i="7"/>
  <c r="M36" i="7"/>
  <c r="M48" i="7"/>
  <c r="M42" i="7"/>
  <c r="M30" i="7"/>
  <c r="K20" i="8"/>
  <c r="K35" i="8"/>
  <c r="K12" i="7"/>
  <c r="K13" i="7" s="1"/>
  <c r="M25" i="6"/>
  <c r="M41" i="6" s="1"/>
  <c r="L65" i="6"/>
  <c r="L72" i="6" s="1"/>
  <c r="J52" i="7"/>
  <c r="M28" i="6"/>
  <c r="M44" i="6" s="1"/>
  <c r="L68" i="6"/>
  <c r="L75" i="6" s="1"/>
  <c r="I64" i="7"/>
  <c r="L10" i="8"/>
  <c r="L25" i="8" s="1"/>
  <c r="L16" i="8"/>
  <c r="L31" i="8"/>
  <c r="L33" i="6"/>
  <c r="M38" i="7"/>
  <c r="M32" i="7"/>
  <c r="M44" i="7"/>
  <c r="M50" i="7"/>
  <c r="M26" i="7"/>
  <c r="M12" i="8" l="1"/>
  <c r="M27" i="8" s="1"/>
  <c r="M33" i="8"/>
  <c r="M18" i="8"/>
  <c r="M35" i="6"/>
  <c r="L54" i="7"/>
  <c r="L18" i="7"/>
  <c r="M50" i="6"/>
  <c r="M65" i="6" s="1"/>
  <c r="M72" i="6" s="1"/>
  <c r="N17" i="6"/>
  <c r="L34" i="7"/>
  <c r="L9" i="8"/>
  <c r="L15" i="8"/>
  <c r="L30" i="8"/>
  <c r="L29" i="8" s="1"/>
  <c r="L29" i="6"/>
  <c r="L32" i="6"/>
  <c r="L37" i="6" s="1"/>
  <c r="L40" i="6"/>
  <c r="J38" i="8"/>
  <c r="J39" i="8" s="1"/>
  <c r="L55" i="7"/>
  <c r="L19" i="7"/>
  <c r="N18" i="6"/>
  <c r="M51" i="6"/>
  <c r="L57" i="7"/>
  <c r="L21" i="7"/>
  <c r="N20" i="6"/>
  <c r="N28" i="6" s="1"/>
  <c r="M53" i="6"/>
  <c r="M68" i="6" s="1"/>
  <c r="M75" i="6" s="1"/>
  <c r="M32" i="8"/>
  <c r="M11" i="8"/>
  <c r="M26" i="8" s="1"/>
  <c r="M17" i="8"/>
  <c r="M34" i="6"/>
  <c r="M13" i="8"/>
  <c r="M28" i="8" s="1"/>
  <c r="M19" i="8"/>
  <c r="M34" i="8"/>
  <c r="M36" i="6"/>
  <c r="K21" i="8"/>
  <c r="I68" i="7"/>
  <c r="I65" i="7"/>
  <c r="M42" i="6"/>
  <c r="M10" i="8"/>
  <c r="M25" i="8" s="1"/>
  <c r="M16" i="8"/>
  <c r="M31" i="8"/>
  <c r="M33" i="6"/>
  <c r="K58" i="7"/>
  <c r="L56" i="7"/>
  <c r="L20" i="7"/>
  <c r="N19" i="6"/>
  <c r="M52" i="6"/>
  <c r="K53" i="7"/>
  <c r="K52" i="7" s="1"/>
  <c r="K38" i="8" s="1"/>
  <c r="K39" i="8" s="1"/>
  <c r="K17" i="7"/>
  <c r="K16" i="7" s="1"/>
  <c r="K76" i="6"/>
  <c r="L49" i="6"/>
  <c r="L54" i="6" s="1"/>
  <c r="M16" i="6"/>
  <c r="L28" i="7"/>
  <c r="I42" i="8"/>
  <c r="I43" i="8" s="1"/>
  <c r="I45" i="8" s="1"/>
  <c r="J61" i="7" s="1"/>
  <c r="J62" i="7" s="1"/>
  <c r="J64" i="7" s="1"/>
  <c r="M43" i="6"/>
  <c r="I46" i="8" l="1"/>
  <c r="J42" i="8"/>
  <c r="J43" i="8" s="1"/>
  <c r="J45" i="8" s="1"/>
  <c r="K61" i="7" s="1"/>
  <c r="K62" i="7" s="1"/>
  <c r="K64" i="7" s="1"/>
  <c r="K42" i="8"/>
  <c r="N13" i="8"/>
  <c r="N28" i="8" s="1"/>
  <c r="N19" i="8"/>
  <c r="N34" i="8"/>
  <c r="N36" i="6"/>
  <c r="M57" i="7"/>
  <c r="M21" i="7"/>
  <c r="N53" i="6"/>
  <c r="O20" i="6"/>
  <c r="M54" i="7"/>
  <c r="M18" i="7"/>
  <c r="O17" i="6"/>
  <c r="N50" i="6"/>
  <c r="N48" i="7"/>
  <c r="N24" i="7"/>
  <c r="N42" i="7"/>
  <c r="N36" i="7"/>
  <c r="N30" i="7"/>
  <c r="L46" i="6"/>
  <c r="L45" i="6"/>
  <c r="M24" i="6"/>
  <c r="L64" i="6"/>
  <c r="L71" i="6" s="1"/>
  <c r="N50" i="7"/>
  <c r="N38" i="7"/>
  <c r="N32" i="7"/>
  <c r="N44" i="7"/>
  <c r="N26" i="7"/>
  <c r="N25" i="6"/>
  <c r="N41" i="6" s="1"/>
  <c r="I48" i="8"/>
  <c r="I47" i="8"/>
  <c r="J68" i="7"/>
  <c r="N49" i="7"/>
  <c r="N37" i="7"/>
  <c r="N43" i="7"/>
  <c r="N25" i="7"/>
  <c r="N31" i="7"/>
  <c r="N26" i="6"/>
  <c r="M66" i="6"/>
  <c r="M73" i="6" s="1"/>
  <c r="L14" i="8"/>
  <c r="N27" i="6"/>
  <c r="M67" i="6"/>
  <c r="M74" i="6" s="1"/>
  <c r="M47" i="7"/>
  <c r="M46" i="7" s="1"/>
  <c r="M41" i="7"/>
  <c r="M40" i="7" s="1"/>
  <c r="M29" i="7"/>
  <c r="M28" i="7" s="1"/>
  <c r="M21" i="6"/>
  <c r="M23" i="7"/>
  <c r="M22" i="7" s="1"/>
  <c r="M35" i="7"/>
  <c r="M34" i="7" s="1"/>
  <c r="I72" i="7"/>
  <c r="I71" i="7"/>
  <c r="I67" i="7"/>
  <c r="I66" i="7"/>
  <c r="J65" i="7"/>
  <c r="J7" i="7"/>
  <c r="N51" i="7"/>
  <c r="N33" i="7"/>
  <c r="N27" i="7"/>
  <c r="N45" i="7"/>
  <c r="N39" i="7"/>
  <c r="L8" i="8"/>
  <c r="L24" i="8"/>
  <c r="L23" i="8" s="1"/>
  <c r="N44" i="6"/>
  <c r="J46" i="8" l="1"/>
  <c r="J48" i="8" s="1"/>
  <c r="N12" i="8"/>
  <c r="N27" i="8" s="1"/>
  <c r="N18" i="8"/>
  <c r="N33" i="8"/>
  <c r="N35" i="6"/>
  <c r="M9" i="8"/>
  <c r="M15" i="8"/>
  <c r="M14" i="8" s="1"/>
  <c r="M30" i="8"/>
  <c r="M29" i="8" s="1"/>
  <c r="M29" i="6"/>
  <c r="M32" i="6"/>
  <c r="M37" i="6" s="1"/>
  <c r="K68" i="7"/>
  <c r="J72" i="7"/>
  <c r="J67" i="7"/>
  <c r="J71" i="7"/>
  <c r="K65" i="7"/>
  <c r="K7" i="7"/>
  <c r="J66" i="7"/>
  <c r="M56" i="7"/>
  <c r="M20" i="7"/>
  <c r="N52" i="6"/>
  <c r="O19" i="6"/>
  <c r="M40" i="6"/>
  <c r="O42" i="7"/>
  <c r="O24" i="7"/>
  <c r="O30" i="7"/>
  <c r="O36" i="7"/>
  <c r="O48" i="7"/>
  <c r="N32" i="8"/>
  <c r="N11" i="8"/>
  <c r="N26" i="8" s="1"/>
  <c r="N17" i="8"/>
  <c r="N34" i="6"/>
  <c r="N16" i="8"/>
  <c r="N31" i="8"/>
  <c r="N10" i="8"/>
  <c r="N25" i="8" s="1"/>
  <c r="N33" i="6"/>
  <c r="L20" i="8"/>
  <c r="L35" i="8"/>
  <c r="L58" i="7" s="1"/>
  <c r="L12" i="7"/>
  <c r="L13" i="7" s="1"/>
  <c r="M55" i="7"/>
  <c r="M19" i="7"/>
  <c r="N51" i="6"/>
  <c r="O18" i="6"/>
  <c r="O51" i="7"/>
  <c r="O33" i="7"/>
  <c r="O45" i="7"/>
  <c r="O39" i="7"/>
  <c r="O27" i="7"/>
  <c r="L53" i="7"/>
  <c r="L52" i="7" s="1"/>
  <c r="L38" i="8" s="1"/>
  <c r="L17" i="7"/>
  <c r="L16" i="7" s="1"/>
  <c r="L76" i="6"/>
  <c r="N16" i="6"/>
  <c r="M49" i="6"/>
  <c r="M54" i="6" s="1"/>
  <c r="N43" i="6"/>
  <c r="O25" i="6"/>
  <c r="O41" i="6" s="1"/>
  <c r="N65" i="6"/>
  <c r="N72" i="6" s="1"/>
  <c r="N42" i="6"/>
  <c r="O28" i="6"/>
  <c r="O44" i="6" s="1"/>
  <c r="N68" i="6"/>
  <c r="N75" i="6" s="1"/>
  <c r="J47" i="8" l="1"/>
  <c r="N57" i="7"/>
  <c r="N21" i="7"/>
  <c r="P20" i="6"/>
  <c r="O53" i="6"/>
  <c r="O68" i="6" s="1"/>
  <c r="O75" i="6" s="1"/>
  <c r="O26" i="6"/>
  <c r="O42" i="6" s="1"/>
  <c r="N66" i="6"/>
  <c r="N73" i="6" s="1"/>
  <c r="O38" i="7"/>
  <c r="O32" i="7"/>
  <c r="O44" i="7"/>
  <c r="O50" i="7"/>
  <c r="O26" i="7"/>
  <c r="K71" i="7"/>
  <c r="K66" i="7"/>
  <c r="K67" i="7"/>
  <c r="K72" i="7"/>
  <c r="L7" i="7"/>
  <c r="N18" i="7"/>
  <c r="N54" i="7"/>
  <c r="P17" i="6"/>
  <c r="O50" i="6"/>
  <c r="O65" i="6" s="1"/>
  <c r="O72" i="6" s="1"/>
  <c r="O19" i="8"/>
  <c r="O34" i="8"/>
  <c r="O13" i="8"/>
  <c r="O28" i="8" s="1"/>
  <c r="O36" i="6"/>
  <c r="O43" i="7"/>
  <c r="O37" i="7"/>
  <c r="O25" i="7"/>
  <c r="O49" i="7"/>
  <c r="O31" i="7"/>
  <c r="N29" i="7"/>
  <c r="N28" i="7" s="1"/>
  <c r="N23" i="7"/>
  <c r="N22" i="7" s="1"/>
  <c r="N41" i="7"/>
  <c r="N40" i="7" s="1"/>
  <c r="N47" i="7"/>
  <c r="N46" i="7" s="1"/>
  <c r="N21" i="6"/>
  <c r="N35" i="7"/>
  <c r="N34" i="7" s="1"/>
  <c r="O27" i="6"/>
  <c r="N67" i="6"/>
  <c r="N74" i="6" s="1"/>
  <c r="M46" i="6"/>
  <c r="M45" i="6"/>
  <c r="N24" i="6"/>
  <c r="M64" i="6"/>
  <c r="M71" i="6" s="1"/>
  <c r="M24" i="8"/>
  <c r="M23" i="8" s="1"/>
  <c r="M8" i="8"/>
  <c r="L21" i="8"/>
  <c r="L39" i="8"/>
  <c r="O31" i="8"/>
  <c r="O16" i="8"/>
  <c r="O10" i="8"/>
  <c r="O25" i="8" s="1"/>
  <c r="O33" i="6"/>
  <c r="O18" i="7" l="1"/>
  <c r="O54" i="7"/>
  <c r="P50" i="6"/>
  <c r="Q17" i="6"/>
  <c r="O57" i="7"/>
  <c r="O21" i="7"/>
  <c r="Q20" i="6"/>
  <c r="P53" i="6"/>
  <c r="P45" i="7"/>
  <c r="P51" i="7"/>
  <c r="P33" i="7"/>
  <c r="P27" i="7"/>
  <c r="P39" i="7"/>
  <c r="N55" i="7"/>
  <c r="N19" i="7"/>
  <c r="P18" i="6"/>
  <c r="P26" i="6" s="1"/>
  <c r="P42" i="6" s="1"/>
  <c r="O51" i="6"/>
  <c r="O66" i="6" s="1"/>
  <c r="O73" i="6" s="1"/>
  <c r="O12" i="8"/>
  <c r="O27" i="8" s="1"/>
  <c r="O33" i="8"/>
  <c r="O18" i="8"/>
  <c r="O35" i="6"/>
  <c r="M20" i="8"/>
  <c r="M35" i="8"/>
  <c r="M58" i="7" s="1"/>
  <c r="M12" i="7"/>
  <c r="M13" i="7" s="1"/>
  <c r="O11" i="8"/>
  <c r="O26" i="8" s="1"/>
  <c r="O32" i="8"/>
  <c r="O17" i="8"/>
  <c r="O34" i="6"/>
  <c r="O43" i="6"/>
  <c r="M17" i="7"/>
  <c r="M16" i="7" s="1"/>
  <c r="M53" i="7"/>
  <c r="M52" i="7" s="1"/>
  <c r="M38" i="8" s="1"/>
  <c r="M76" i="6"/>
  <c r="N49" i="6"/>
  <c r="N54" i="6" s="1"/>
  <c r="O16" i="6"/>
  <c r="P25" i="6"/>
  <c r="P41" i="6" s="1"/>
  <c r="N9" i="8"/>
  <c r="N30" i="8"/>
  <c r="N29" i="8" s="1"/>
  <c r="N15" i="8"/>
  <c r="N14" i="8" s="1"/>
  <c r="N29" i="6"/>
  <c r="N32" i="6"/>
  <c r="N37" i="6" s="1"/>
  <c r="N20" i="7"/>
  <c r="N56" i="7"/>
  <c r="O52" i="6"/>
  <c r="P19" i="6"/>
  <c r="P28" i="6"/>
  <c r="P30" i="7"/>
  <c r="P24" i="7"/>
  <c r="P42" i="7"/>
  <c r="P36" i="7"/>
  <c r="P48" i="7"/>
  <c r="N40" i="6"/>
  <c r="O55" i="7" l="1"/>
  <c r="O19" i="7"/>
  <c r="P51" i="6"/>
  <c r="P66" i="6" s="1"/>
  <c r="P73" i="6" s="1"/>
  <c r="Q18" i="6"/>
  <c r="P27" i="6"/>
  <c r="P43" i="6" s="1"/>
  <c r="O67" i="6"/>
  <c r="O74" i="6" s="1"/>
  <c r="P19" i="8"/>
  <c r="P34" i="8"/>
  <c r="P13" i="8"/>
  <c r="P28" i="8" s="1"/>
  <c r="P36" i="6"/>
  <c r="Q25" i="6"/>
  <c r="P65" i="6"/>
  <c r="P72" i="6" s="1"/>
  <c r="N46" i="6"/>
  <c r="N45" i="6"/>
  <c r="O24" i="6"/>
  <c r="O40" i="6" s="1"/>
  <c r="N64" i="6"/>
  <c r="N71" i="6" s="1"/>
  <c r="P16" i="8"/>
  <c r="P31" i="8"/>
  <c r="P10" i="8"/>
  <c r="P25" i="8" s="1"/>
  <c r="P33" i="6"/>
  <c r="P32" i="8"/>
  <c r="P17" i="8"/>
  <c r="P11" i="8"/>
  <c r="P26" i="8" s="1"/>
  <c r="P34" i="6"/>
  <c r="N24" i="8"/>
  <c r="N23" i="8" s="1"/>
  <c r="N8" i="8"/>
  <c r="Q24" i="7"/>
  <c r="Q42" i="7"/>
  <c r="Q36" i="7"/>
  <c r="Q48" i="7"/>
  <c r="Q30" i="7"/>
  <c r="P44" i="6"/>
  <c r="M39" i="8"/>
  <c r="M21" i="8"/>
  <c r="P44" i="7"/>
  <c r="P50" i="7"/>
  <c r="P38" i="7"/>
  <c r="P32" i="7"/>
  <c r="P26" i="7"/>
  <c r="O29" i="7"/>
  <c r="O28" i="7" s="1"/>
  <c r="O23" i="7"/>
  <c r="O22" i="7" s="1"/>
  <c r="O35" i="7"/>
  <c r="O34" i="7" s="1"/>
  <c r="O47" i="7"/>
  <c r="O46" i="7" s="1"/>
  <c r="O21" i="6"/>
  <c r="O41" i="7"/>
  <c r="O40" i="7" s="1"/>
  <c r="P37" i="7"/>
  <c r="P43" i="7"/>
  <c r="P49" i="7"/>
  <c r="P25" i="7"/>
  <c r="P31" i="7"/>
  <c r="Q33" i="7"/>
  <c r="Q27" i="7"/>
  <c r="Q45" i="7"/>
  <c r="Q51" i="7"/>
  <c r="Q39" i="7"/>
  <c r="O46" i="6" l="1"/>
  <c r="O45" i="6"/>
  <c r="P19" i="7"/>
  <c r="P55" i="7"/>
  <c r="Q51" i="6"/>
  <c r="R18" i="6"/>
  <c r="Q49" i="7"/>
  <c r="Q37" i="7"/>
  <c r="Q43" i="7"/>
  <c r="Q31" i="7"/>
  <c r="Q25" i="7"/>
  <c r="Q16" i="8"/>
  <c r="Q31" i="8"/>
  <c r="Q10" i="8"/>
  <c r="Q25" i="8" s="1"/>
  <c r="Q33" i="6"/>
  <c r="Q28" i="6"/>
  <c r="P68" i="6"/>
  <c r="P75" i="6" s="1"/>
  <c r="O56" i="7"/>
  <c r="O20" i="7"/>
  <c r="P52" i="6"/>
  <c r="P67" i="6" s="1"/>
  <c r="P74" i="6" s="1"/>
  <c r="Q19" i="6"/>
  <c r="Q27" i="6" s="1"/>
  <c r="Q43" i="6" s="1"/>
  <c r="O9" i="8"/>
  <c r="O15" i="8"/>
  <c r="O14" i="8" s="1"/>
  <c r="O30" i="8"/>
  <c r="O29" i="8" s="1"/>
  <c r="O29" i="6"/>
  <c r="O32" i="6"/>
  <c r="O37" i="6" s="1"/>
  <c r="Q41" i="6"/>
  <c r="P12" i="8"/>
  <c r="P27" i="8" s="1"/>
  <c r="P18" i="8"/>
  <c r="P33" i="8"/>
  <c r="P35" i="6"/>
  <c r="N53" i="7"/>
  <c r="N52" i="7" s="1"/>
  <c r="N38" i="8" s="1"/>
  <c r="N17" i="7"/>
  <c r="N16" i="7" s="1"/>
  <c r="N76" i="6"/>
  <c r="O49" i="6"/>
  <c r="O54" i="6" s="1"/>
  <c r="P16" i="6"/>
  <c r="N20" i="8"/>
  <c r="N35" i="8"/>
  <c r="N58" i="7" s="1"/>
  <c r="N12" i="7"/>
  <c r="N13" i="7" s="1"/>
  <c r="P18" i="7"/>
  <c r="P54" i="7"/>
  <c r="Q50" i="6"/>
  <c r="R17" i="6"/>
  <c r="Q26" i="6"/>
  <c r="P56" i="7" l="1"/>
  <c r="P20" i="7"/>
  <c r="R19" i="6"/>
  <c r="Q52" i="6"/>
  <c r="Q67" i="6" s="1"/>
  <c r="Q74" i="6" s="1"/>
  <c r="P57" i="7"/>
  <c r="P21" i="7"/>
  <c r="Q53" i="6"/>
  <c r="R20" i="6"/>
  <c r="Q11" i="8"/>
  <c r="Q26" i="8" s="1"/>
  <c r="Q17" i="8"/>
  <c r="Q32" i="8"/>
  <c r="Q34" i="6"/>
  <c r="Q42" i="6"/>
  <c r="R25" i="6"/>
  <c r="Q65" i="6"/>
  <c r="Q72" i="6" s="1"/>
  <c r="O24" i="8"/>
  <c r="O23" i="8" s="1"/>
  <c r="O8" i="8"/>
  <c r="P29" i="7"/>
  <c r="P28" i="7" s="1"/>
  <c r="P23" i="7"/>
  <c r="P22" i="7" s="1"/>
  <c r="P41" i="7"/>
  <c r="P40" i="7" s="1"/>
  <c r="P47" i="7"/>
  <c r="P46" i="7" s="1"/>
  <c r="P35" i="7"/>
  <c r="P34" i="7" s="1"/>
  <c r="P21" i="6"/>
  <c r="Q19" i="8"/>
  <c r="Q34" i="8"/>
  <c r="Q13" i="8"/>
  <c r="Q28" i="8" s="1"/>
  <c r="Q36" i="6"/>
  <c r="Q44" i="6"/>
  <c r="P24" i="6"/>
  <c r="P40" i="6" s="1"/>
  <c r="R49" i="7"/>
  <c r="R37" i="7"/>
  <c r="R43" i="7"/>
  <c r="R25" i="7"/>
  <c r="R31" i="7"/>
  <c r="Q18" i="8"/>
  <c r="Q12" i="8"/>
  <c r="Q27" i="8" s="1"/>
  <c r="Q33" i="8"/>
  <c r="Q35" i="6"/>
  <c r="R42" i="7"/>
  <c r="R36" i="7"/>
  <c r="R48" i="7"/>
  <c r="R30" i="7"/>
  <c r="R24" i="7"/>
  <c r="N39" i="8"/>
  <c r="N21" i="8"/>
  <c r="O64" i="6"/>
  <c r="O71" i="6" s="1"/>
  <c r="Q50" i="7"/>
  <c r="Q38" i="7"/>
  <c r="Q32" i="7"/>
  <c r="Q44" i="7"/>
  <c r="Q26" i="7"/>
  <c r="Q56" i="7" l="1"/>
  <c r="Q20" i="7"/>
  <c r="R52" i="6"/>
  <c r="S19" i="6"/>
  <c r="P46" i="6"/>
  <c r="P45" i="6"/>
  <c r="O53" i="7"/>
  <c r="O52" i="7" s="1"/>
  <c r="O38" i="8" s="1"/>
  <c r="O76" i="6"/>
  <c r="O17" i="7"/>
  <c r="O16" i="7" s="1"/>
  <c r="Q16" i="6"/>
  <c r="P49" i="6"/>
  <c r="P54" i="6" s="1"/>
  <c r="R26" i="6"/>
  <c r="Q66" i="6"/>
  <c r="Q73" i="6" s="1"/>
  <c r="R26" i="7"/>
  <c r="R32" i="7"/>
  <c r="R44" i="7"/>
  <c r="R38" i="7"/>
  <c r="R50" i="7"/>
  <c r="O20" i="8"/>
  <c r="O35" i="8"/>
  <c r="O58" i="7" s="1"/>
  <c r="O12" i="7"/>
  <c r="O13" i="7" s="1"/>
  <c r="P15" i="8"/>
  <c r="P14" i="8" s="1"/>
  <c r="P30" i="8"/>
  <c r="P29" i="8" s="1"/>
  <c r="P9" i="8"/>
  <c r="P29" i="6"/>
  <c r="P32" i="6"/>
  <c r="P37" i="6" s="1"/>
  <c r="R51" i="7"/>
  <c r="R33" i="7"/>
  <c r="R27" i="7"/>
  <c r="R45" i="7"/>
  <c r="R39" i="7"/>
  <c r="R31" i="8"/>
  <c r="R10" i="8"/>
  <c r="R25" i="8" s="1"/>
  <c r="R16" i="8"/>
  <c r="R33" i="6"/>
  <c r="R27" i="6"/>
  <c r="Q54" i="7"/>
  <c r="Q18" i="7"/>
  <c r="R50" i="6"/>
  <c r="S17" i="6"/>
  <c r="R28" i="6"/>
  <c r="Q68" i="6"/>
  <c r="Q75" i="6" s="1"/>
  <c r="R41" i="6"/>
  <c r="Q57" i="7" l="1"/>
  <c r="Q21" i="7"/>
  <c r="S20" i="6"/>
  <c r="R53" i="6"/>
  <c r="Q23" i="7"/>
  <c r="Q22" i="7" s="1"/>
  <c r="Q41" i="7"/>
  <c r="Q40" i="7" s="1"/>
  <c r="Q47" i="7"/>
  <c r="Q46" i="7" s="1"/>
  <c r="Q35" i="7"/>
  <c r="Q34" i="7" s="1"/>
  <c r="Q29" i="7"/>
  <c r="Q28" i="7" s="1"/>
  <c r="Q21" i="6"/>
  <c r="S48" i="7"/>
  <c r="S42" i="7"/>
  <c r="S36" i="7"/>
  <c r="S30" i="7"/>
  <c r="S24" i="7"/>
  <c r="P24" i="8"/>
  <c r="P23" i="8" s="1"/>
  <c r="P8" i="8"/>
  <c r="R19" i="8"/>
  <c r="R34" i="8"/>
  <c r="R13" i="8"/>
  <c r="R28" i="8" s="1"/>
  <c r="R36" i="6"/>
  <c r="S32" i="7"/>
  <c r="S44" i="7"/>
  <c r="S50" i="7"/>
  <c r="S38" i="7"/>
  <c r="S26" i="7"/>
  <c r="R11" i="8"/>
  <c r="R26" i="8" s="1"/>
  <c r="R17" i="8"/>
  <c r="R32" i="8"/>
  <c r="R34" i="6"/>
  <c r="R44" i="6"/>
  <c r="R12" i="8"/>
  <c r="R27" i="8" s="1"/>
  <c r="R18" i="8"/>
  <c r="R33" i="8"/>
  <c r="R35" i="6"/>
  <c r="O39" i="8"/>
  <c r="O21" i="8"/>
  <c r="Q24" i="6"/>
  <c r="Q40" i="6" s="1"/>
  <c r="R43" i="6"/>
  <c r="R42" i="6"/>
  <c r="P64" i="6"/>
  <c r="P71" i="6" s="1"/>
  <c r="S25" i="6"/>
  <c r="R65" i="6"/>
  <c r="R72" i="6" s="1"/>
  <c r="Q55" i="7"/>
  <c r="Q19" i="7"/>
  <c r="R51" i="6"/>
  <c r="S18" i="6"/>
  <c r="Q46" i="6" l="1"/>
  <c r="Q45" i="6"/>
  <c r="S28" i="6"/>
  <c r="S44" i="6" s="1"/>
  <c r="R68" i="6"/>
  <c r="R75" i="6" s="1"/>
  <c r="R54" i="7"/>
  <c r="R18" i="7"/>
  <c r="T17" i="6"/>
  <c r="S50" i="6"/>
  <c r="S31" i="8"/>
  <c r="S16" i="8"/>
  <c r="S10" i="8"/>
  <c r="S25" i="8" s="1"/>
  <c r="S33" i="6"/>
  <c r="S41" i="6"/>
  <c r="Q9" i="8"/>
  <c r="Q15" i="8"/>
  <c r="Q14" i="8" s="1"/>
  <c r="Q30" i="8"/>
  <c r="Q29" i="8" s="1"/>
  <c r="Q29" i="6"/>
  <c r="Q32" i="6"/>
  <c r="Q37" i="6" s="1"/>
  <c r="S26" i="6"/>
  <c r="S42" i="6" s="1"/>
  <c r="R66" i="6"/>
  <c r="R73" i="6" s="1"/>
  <c r="S27" i="7"/>
  <c r="S45" i="7"/>
  <c r="S51" i="7"/>
  <c r="S39" i="7"/>
  <c r="S33" i="7"/>
  <c r="P53" i="7"/>
  <c r="P52" i="7" s="1"/>
  <c r="P38" i="8" s="1"/>
  <c r="P76" i="6"/>
  <c r="P17" i="7"/>
  <c r="P16" i="7" s="1"/>
  <c r="Q49" i="6"/>
  <c r="Q54" i="6" s="1"/>
  <c r="R16" i="6"/>
  <c r="S27" i="6"/>
  <c r="R67" i="6"/>
  <c r="R74" i="6" s="1"/>
  <c r="S49" i="7"/>
  <c r="S37" i="7"/>
  <c r="S43" i="7"/>
  <c r="S31" i="7"/>
  <c r="S25" i="7"/>
  <c r="P35" i="8"/>
  <c r="P58" i="7" s="1"/>
  <c r="P12" i="7"/>
  <c r="P13" i="7" s="1"/>
  <c r="P20" i="8"/>
  <c r="T42" i="7" l="1"/>
  <c r="T36" i="7"/>
  <c r="T48" i="7"/>
  <c r="T30" i="7"/>
  <c r="T24" i="7"/>
  <c r="R55" i="7"/>
  <c r="R19" i="7"/>
  <c r="T18" i="6"/>
  <c r="S51" i="6"/>
  <c r="S66" i="6" s="1"/>
  <c r="S73" i="6" s="1"/>
  <c r="Q64" i="6"/>
  <c r="Q71" i="6" s="1"/>
  <c r="P39" i="8"/>
  <c r="P21" i="8"/>
  <c r="S11" i="8"/>
  <c r="S26" i="8" s="1"/>
  <c r="S17" i="8"/>
  <c r="S32" i="8"/>
  <c r="S34" i="6"/>
  <c r="R56" i="7"/>
  <c r="R20" i="7"/>
  <c r="S52" i="6"/>
  <c r="T19" i="6"/>
  <c r="S12" i="8"/>
  <c r="S27" i="8" s="1"/>
  <c r="S18" i="8"/>
  <c r="S33" i="8"/>
  <c r="S35" i="6"/>
  <c r="S43" i="6"/>
  <c r="R57" i="7"/>
  <c r="R21" i="7"/>
  <c r="T20" i="6"/>
  <c r="S53" i="6"/>
  <c r="S68" i="6" s="1"/>
  <c r="S75" i="6" s="1"/>
  <c r="R23" i="7"/>
  <c r="R22" i="7" s="1"/>
  <c r="R41" i="7"/>
  <c r="R40" i="7" s="1"/>
  <c r="R47" i="7"/>
  <c r="R46" i="7" s="1"/>
  <c r="R35" i="7"/>
  <c r="R34" i="7" s="1"/>
  <c r="R29" i="7"/>
  <c r="R28" i="7" s="1"/>
  <c r="R21" i="6"/>
  <c r="R24" i="6"/>
  <c r="S34" i="8"/>
  <c r="S13" i="8"/>
  <c r="S28" i="8" s="1"/>
  <c r="S19" i="8"/>
  <c r="S36" i="6"/>
  <c r="Q24" i="8"/>
  <c r="Q23" i="8" s="1"/>
  <c r="Q8" i="8"/>
  <c r="T25" i="6"/>
  <c r="S65" i="6"/>
  <c r="S72" i="6" s="1"/>
  <c r="S57" i="7" l="1"/>
  <c r="S21" i="7"/>
  <c r="U20" i="6"/>
  <c r="T53" i="6"/>
  <c r="T50" i="7"/>
  <c r="T32" i="7"/>
  <c r="T44" i="7"/>
  <c r="T26" i="7"/>
  <c r="T38" i="7"/>
  <c r="S55" i="7"/>
  <c r="S19" i="7"/>
  <c r="T51" i="6"/>
  <c r="U18" i="6"/>
  <c r="T26" i="6"/>
  <c r="T42" i="6" s="1"/>
  <c r="T37" i="7"/>
  <c r="T43" i="7"/>
  <c r="T31" i="7"/>
  <c r="T25" i="7"/>
  <c r="T49" i="7"/>
  <c r="T51" i="7"/>
  <c r="T27" i="7"/>
  <c r="T45" i="7"/>
  <c r="T39" i="7"/>
  <c r="T33" i="7"/>
  <c r="T28" i="6"/>
  <c r="T44" i="6" s="1"/>
  <c r="S54" i="7"/>
  <c r="S18" i="7"/>
  <c r="U17" i="6"/>
  <c r="T50" i="6"/>
  <c r="T31" i="8"/>
  <c r="T10" i="8"/>
  <c r="T25" i="8" s="1"/>
  <c r="T16" i="8"/>
  <c r="T33" i="6"/>
  <c r="T41" i="6"/>
  <c r="Q12" i="7"/>
  <c r="Q13" i="7" s="1"/>
  <c r="Q20" i="8"/>
  <c r="Q35" i="8"/>
  <c r="Q58" i="7" s="1"/>
  <c r="Q53" i="7"/>
  <c r="Q52" i="7" s="1"/>
  <c r="Q38" i="8" s="1"/>
  <c r="Q76" i="6"/>
  <c r="Q17" i="7"/>
  <c r="Q16" i="7" s="1"/>
  <c r="R49" i="6"/>
  <c r="R54" i="6" s="1"/>
  <c r="S16" i="6"/>
  <c r="R9" i="8"/>
  <c r="R15" i="8"/>
  <c r="R14" i="8" s="1"/>
  <c r="R30" i="8"/>
  <c r="R29" i="8" s="1"/>
  <c r="R29" i="6"/>
  <c r="R32" i="6"/>
  <c r="R37" i="6" s="1"/>
  <c r="T27" i="6"/>
  <c r="S67" i="6"/>
  <c r="S74" i="6" s="1"/>
  <c r="R40" i="6"/>
  <c r="U26" i="6" l="1"/>
  <c r="T66" i="6"/>
  <c r="T73" i="6" s="1"/>
  <c r="U48" i="7"/>
  <c r="U42" i="7"/>
  <c r="U36" i="7"/>
  <c r="U30" i="7"/>
  <c r="U24" i="7"/>
  <c r="R24" i="8"/>
  <c r="R23" i="8" s="1"/>
  <c r="R8" i="8"/>
  <c r="U28" i="6"/>
  <c r="T68" i="6"/>
  <c r="T75" i="6" s="1"/>
  <c r="S56" i="7"/>
  <c r="S20" i="7"/>
  <c r="U19" i="6"/>
  <c r="T52" i="6"/>
  <c r="T11" i="8"/>
  <c r="T26" i="8" s="1"/>
  <c r="T17" i="8"/>
  <c r="T32" i="8"/>
  <c r="T34" i="6"/>
  <c r="R46" i="6"/>
  <c r="R45" i="6"/>
  <c r="S24" i="6"/>
  <c r="S40" i="6" s="1"/>
  <c r="R64" i="6"/>
  <c r="R71" i="6" s="1"/>
  <c r="Q39" i="8"/>
  <c r="Q21" i="8"/>
  <c r="U45" i="7"/>
  <c r="U39" i="7"/>
  <c r="U27" i="7"/>
  <c r="U33" i="7"/>
  <c r="U51" i="7"/>
  <c r="U43" i="7"/>
  <c r="U37" i="7"/>
  <c r="U31" i="7"/>
  <c r="U49" i="7"/>
  <c r="U25" i="7"/>
  <c r="S47" i="7"/>
  <c r="S46" i="7" s="1"/>
  <c r="S23" i="7"/>
  <c r="S22" i="7" s="1"/>
  <c r="S41" i="7"/>
  <c r="S40" i="7" s="1"/>
  <c r="S29" i="7"/>
  <c r="S28" i="7" s="1"/>
  <c r="S35" i="7"/>
  <c r="S34" i="7" s="1"/>
  <c r="S21" i="6"/>
  <c r="T34" i="8"/>
  <c r="T19" i="8"/>
  <c r="T13" i="8"/>
  <c r="T28" i="8" s="1"/>
  <c r="T36" i="6"/>
  <c r="T18" i="8"/>
  <c r="T33" i="8"/>
  <c r="T12" i="8"/>
  <c r="T27" i="8" s="1"/>
  <c r="T35" i="6"/>
  <c r="U25" i="6"/>
  <c r="T65" i="6"/>
  <c r="T72" i="6" s="1"/>
  <c r="T43" i="6"/>
  <c r="S46" i="6" l="1"/>
  <c r="S45" i="6"/>
  <c r="U13" i="8"/>
  <c r="U28" i="8" s="1"/>
  <c r="U19" i="8"/>
  <c r="U34" i="8"/>
  <c r="U36" i="6"/>
  <c r="U44" i="6"/>
  <c r="U44" i="7"/>
  <c r="U32" i="7"/>
  <c r="U26" i="7"/>
  <c r="U50" i="7"/>
  <c r="U38" i="7"/>
  <c r="U31" i="8"/>
  <c r="U10" i="8"/>
  <c r="U25" i="8" s="1"/>
  <c r="U16" i="8"/>
  <c r="U33" i="6"/>
  <c r="R53" i="7"/>
  <c r="R52" i="7" s="1"/>
  <c r="R38" i="8" s="1"/>
  <c r="R76" i="6"/>
  <c r="T16" i="6"/>
  <c r="R17" i="7"/>
  <c r="R16" i="7" s="1"/>
  <c r="S49" i="6"/>
  <c r="S54" i="6" s="1"/>
  <c r="U27" i="6"/>
  <c r="T67" i="6"/>
  <c r="T74" i="6" s="1"/>
  <c r="T18" i="7"/>
  <c r="T54" i="7"/>
  <c r="V17" i="6"/>
  <c r="U50" i="6"/>
  <c r="U41" i="6"/>
  <c r="T55" i="7"/>
  <c r="T19" i="7"/>
  <c r="U51" i="6"/>
  <c r="V18" i="6"/>
  <c r="T57" i="7"/>
  <c r="T21" i="7"/>
  <c r="U53" i="6"/>
  <c r="V20" i="6"/>
  <c r="R35" i="8"/>
  <c r="R58" i="7" s="1"/>
  <c r="R20" i="8"/>
  <c r="R12" i="7"/>
  <c r="R13" i="7" s="1"/>
  <c r="U11" i="8"/>
  <c r="U26" i="8" s="1"/>
  <c r="U17" i="8"/>
  <c r="U32" i="8"/>
  <c r="U34" i="6"/>
  <c r="S15" i="8"/>
  <c r="S14" i="8" s="1"/>
  <c r="S30" i="8"/>
  <c r="S29" i="8" s="1"/>
  <c r="S9" i="8"/>
  <c r="S29" i="6"/>
  <c r="S32" i="6"/>
  <c r="S37" i="6" s="1"/>
  <c r="U42" i="6"/>
  <c r="T56" i="7" l="1"/>
  <c r="T20" i="7"/>
  <c r="U52" i="6"/>
  <c r="V19" i="6"/>
  <c r="U18" i="8"/>
  <c r="U33" i="8"/>
  <c r="U12" i="8"/>
  <c r="U27" i="8" s="1"/>
  <c r="U35" i="6"/>
  <c r="U43" i="6"/>
  <c r="T23" i="7"/>
  <c r="T22" i="7" s="1"/>
  <c r="T41" i="7"/>
  <c r="T40" i="7" s="1"/>
  <c r="T47" i="7"/>
  <c r="T46" i="7" s="1"/>
  <c r="T35" i="7"/>
  <c r="T34" i="7" s="1"/>
  <c r="T21" i="6"/>
  <c r="T29" i="7"/>
  <c r="T28" i="7" s="1"/>
  <c r="S64" i="6"/>
  <c r="S71" i="6" s="1"/>
  <c r="R39" i="8"/>
  <c r="R21" i="8"/>
  <c r="V28" i="6"/>
  <c r="U68" i="6"/>
  <c r="U75" i="6" s="1"/>
  <c r="T24" i="6"/>
  <c r="V42" i="7"/>
  <c r="V36" i="7"/>
  <c r="V48" i="7"/>
  <c r="V30" i="7"/>
  <c r="V24" i="7"/>
  <c r="V27" i="7"/>
  <c r="V45" i="7"/>
  <c r="V39" i="7"/>
  <c r="V51" i="7"/>
  <c r="V33" i="7"/>
  <c r="V43" i="7"/>
  <c r="V31" i="7"/>
  <c r="V49" i="7"/>
  <c r="V25" i="7"/>
  <c r="V37" i="7"/>
  <c r="S24" i="8"/>
  <c r="S23" i="8" s="1"/>
  <c r="S8" i="8"/>
  <c r="V26" i="6"/>
  <c r="V42" i="6" s="1"/>
  <c r="U66" i="6"/>
  <c r="U73" i="6" s="1"/>
  <c r="V25" i="6"/>
  <c r="V41" i="6" s="1"/>
  <c r="U65" i="6"/>
  <c r="U72" i="6" s="1"/>
  <c r="U54" i="7" l="1"/>
  <c r="U18" i="7"/>
  <c r="V50" i="6"/>
  <c r="V65" i="6" s="1"/>
  <c r="V72" i="6" s="1"/>
  <c r="W17" i="6"/>
  <c r="V10" i="8"/>
  <c r="V25" i="8" s="1"/>
  <c r="V16" i="8"/>
  <c r="V31" i="8"/>
  <c r="V33" i="6"/>
  <c r="T30" i="8"/>
  <c r="T29" i="8" s="1"/>
  <c r="T9" i="8"/>
  <c r="T15" i="8"/>
  <c r="T14" i="8" s="1"/>
  <c r="T29" i="6"/>
  <c r="T32" i="6"/>
  <c r="T37" i="6" s="1"/>
  <c r="U55" i="7"/>
  <c r="U19" i="7"/>
  <c r="V51" i="6"/>
  <c r="V66" i="6" s="1"/>
  <c r="V73" i="6" s="1"/>
  <c r="W18" i="6"/>
  <c r="V17" i="8"/>
  <c r="V11" i="8"/>
  <c r="V26" i="8" s="1"/>
  <c r="V32" i="8"/>
  <c r="V34" i="6"/>
  <c r="T40" i="6"/>
  <c r="V32" i="7"/>
  <c r="V44" i="7"/>
  <c r="V26" i="7"/>
  <c r="V50" i="7"/>
  <c r="V38" i="7"/>
  <c r="V13" i="8"/>
  <c r="V28" i="8" s="1"/>
  <c r="V34" i="8"/>
  <c r="V19" i="8"/>
  <c r="V36" i="6"/>
  <c r="V27" i="6"/>
  <c r="U67" i="6"/>
  <c r="U74" i="6" s="1"/>
  <c r="U57" i="7"/>
  <c r="U21" i="7"/>
  <c r="V53" i="6"/>
  <c r="W20" i="6"/>
  <c r="S35" i="8"/>
  <c r="S58" i="7" s="1"/>
  <c r="S20" i="8"/>
  <c r="S12" i="7"/>
  <c r="S13" i="7" s="1"/>
  <c r="V44" i="6"/>
  <c r="S53" i="7"/>
  <c r="S52" i="7" s="1"/>
  <c r="S38" i="8" s="1"/>
  <c r="S76" i="6"/>
  <c r="S17" i="7"/>
  <c r="S16" i="7" s="1"/>
  <c r="U16" i="6"/>
  <c r="T49" i="6"/>
  <c r="T54" i="6" s="1"/>
  <c r="V55" i="7" l="1"/>
  <c r="V19" i="7"/>
  <c r="W51" i="6"/>
  <c r="V18" i="7"/>
  <c r="V54" i="7"/>
  <c r="W50" i="6"/>
  <c r="W25" i="7"/>
  <c r="D25" i="7" s="1"/>
  <c r="W43" i="7"/>
  <c r="D43" i="7" s="1"/>
  <c r="W31" i="7"/>
  <c r="D31" i="7" s="1"/>
  <c r="W49" i="7"/>
  <c r="D49" i="7" s="1"/>
  <c r="W37" i="7"/>
  <c r="D37" i="7" s="1"/>
  <c r="D18" i="6"/>
  <c r="T24" i="8"/>
  <c r="T23" i="8" s="1"/>
  <c r="T8" i="8"/>
  <c r="W42" i="7"/>
  <c r="D42" i="7" s="1"/>
  <c r="W36" i="7"/>
  <c r="D36" i="7" s="1"/>
  <c r="W48" i="7"/>
  <c r="D48" i="7" s="1"/>
  <c r="W30" i="7"/>
  <c r="D30" i="7" s="1"/>
  <c r="W24" i="7"/>
  <c r="D24" i="7" s="1"/>
  <c r="D17" i="6"/>
  <c r="V18" i="8"/>
  <c r="V33" i="8"/>
  <c r="V12" i="8"/>
  <c r="V27" i="8" s="1"/>
  <c r="V35" i="6"/>
  <c r="U56" i="7"/>
  <c r="U20" i="7"/>
  <c r="W19" i="6"/>
  <c r="V52" i="6"/>
  <c r="U24" i="6"/>
  <c r="U40" i="6" s="1"/>
  <c r="T46" i="6"/>
  <c r="T45" i="6"/>
  <c r="T64" i="6"/>
  <c r="T71" i="6" s="1"/>
  <c r="S21" i="8"/>
  <c r="S39" i="8"/>
  <c r="U29" i="7"/>
  <c r="U28" i="7" s="1"/>
  <c r="U23" i="7"/>
  <c r="U22" i="7" s="1"/>
  <c r="U41" i="7"/>
  <c r="U40" i="7" s="1"/>
  <c r="U47" i="7"/>
  <c r="U46" i="7" s="1"/>
  <c r="U35" i="7"/>
  <c r="U34" i="7" s="1"/>
  <c r="U21" i="6"/>
  <c r="W26" i="6"/>
  <c r="W51" i="7"/>
  <c r="D51" i="7" s="1"/>
  <c r="W45" i="7"/>
  <c r="D45" i="7" s="1"/>
  <c r="W39" i="7"/>
  <c r="D39" i="7" s="1"/>
  <c r="W33" i="7"/>
  <c r="D33" i="7" s="1"/>
  <c r="W27" i="7"/>
  <c r="D27" i="7" s="1"/>
  <c r="D20" i="6"/>
  <c r="V43" i="6"/>
  <c r="W28" i="6"/>
  <c r="W44" i="6" s="1"/>
  <c r="V68" i="6"/>
  <c r="V75" i="6" s="1"/>
  <c r="W25" i="6"/>
  <c r="U46" i="6" l="1"/>
  <c r="U45" i="6"/>
  <c r="V57" i="7"/>
  <c r="V21" i="7"/>
  <c r="W53" i="6"/>
  <c r="W68" i="6" s="1"/>
  <c r="T20" i="8"/>
  <c r="T35" i="8"/>
  <c r="T58" i="7" s="1"/>
  <c r="T12" i="7"/>
  <c r="T13" i="7" s="1"/>
  <c r="T41" i="8"/>
  <c r="W11" i="8"/>
  <c r="W17" i="8"/>
  <c r="D17" i="8" s="1"/>
  <c r="W32" i="8"/>
  <c r="D32" i="8" s="1"/>
  <c r="W34" i="6"/>
  <c r="D34" i="6" s="1"/>
  <c r="M20" i="2" s="1"/>
  <c r="D26" i="6"/>
  <c r="K20" i="2" s="1"/>
  <c r="W42" i="6"/>
  <c r="W66" i="6" s="1"/>
  <c r="U15" i="8"/>
  <c r="U14" i="8" s="1"/>
  <c r="U30" i="8"/>
  <c r="U29" i="8" s="1"/>
  <c r="U9" i="8"/>
  <c r="U29" i="6"/>
  <c r="U32" i="6"/>
  <c r="U37" i="6" s="1"/>
  <c r="W10" i="8"/>
  <c r="W31" i="8"/>
  <c r="D31" i="8" s="1"/>
  <c r="W16" i="8"/>
  <c r="D16" i="8" s="1"/>
  <c r="W33" i="6"/>
  <c r="D33" i="6" s="1"/>
  <c r="M19" i="2" s="1"/>
  <c r="D25" i="6"/>
  <c r="K19" i="2" s="1"/>
  <c r="T53" i="7"/>
  <c r="T52" i="7" s="1"/>
  <c r="T38" i="8" s="1"/>
  <c r="T76" i="6"/>
  <c r="T17" i="7"/>
  <c r="T16" i="7" s="1"/>
  <c r="V16" i="6"/>
  <c r="U49" i="6"/>
  <c r="U54" i="6" s="1"/>
  <c r="W44" i="7"/>
  <c r="D44" i="7" s="1"/>
  <c r="W26" i="7"/>
  <c r="D26" i="7" s="1"/>
  <c r="W50" i="7"/>
  <c r="D50" i="7" s="1"/>
  <c r="W32" i="7"/>
  <c r="D32" i="7" s="1"/>
  <c r="W38" i="7"/>
  <c r="D38" i="7" s="1"/>
  <c r="D19" i="6"/>
  <c r="W13" i="8"/>
  <c r="W19" i="8"/>
  <c r="D19" i="8" s="1"/>
  <c r="W34" i="8"/>
  <c r="D34" i="8" s="1"/>
  <c r="W36" i="6"/>
  <c r="D36" i="6" s="1"/>
  <c r="M22" i="2" s="1"/>
  <c r="D28" i="6"/>
  <c r="K22" i="2" s="1"/>
  <c r="W41" i="6"/>
  <c r="W65" i="6" s="1"/>
  <c r="W27" i="6"/>
  <c r="V67" i="6"/>
  <c r="V74" i="6" s="1"/>
  <c r="W75" i="6" l="1"/>
  <c r="D68" i="6"/>
  <c r="U64" i="6"/>
  <c r="U71" i="6" s="1"/>
  <c r="W28" i="8"/>
  <c r="D28" i="8" s="1"/>
  <c r="D13" i="8"/>
  <c r="L22" i="2" s="1"/>
  <c r="V56" i="7"/>
  <c r="V20" i="7"/>
  <c r="W52" i="6"/>
  <c r="U24" i="8"/>
  <c r="U23" i="8" s="1"/>
  <c r="U8" i="8"/>
  <c r="T21" i="8"/>
  <c r="T39" i="8"/>
  <c r="W73" i="6"/>
  <c r="D66" i="6"/>
  <c r="W72" i="6"/>
  <c r="D65" i="6"/>
  <c r="V47" i="7"/>
  <c r="V46" i="7" s="1"/>
  <c r="V41" i="7"/>
  <c r="V40" i="7" s="1"/>
  <c r="V35" i="7"/>
  <c r="V34" i="7" s="1"/>
  <c r="V23" i="7"/>
  <c r="V22" i="7" s="1"/>
  <c r="V21" i="6"/>
  <c r="V29" i="7"/>
  <c r="V28" i="7" s="1"/>
  <c r="W18" i="8"/>
  <c r="D18" i="8" s="1"/>
  <c r="W33" i="8"/>
  <c r="D33" i="8" s="1"/>
  <c r="W12" i="8"/>
  <c r="W35" i="6"/>
  <c r="D35" i="6" s="1"/>
  <c r="M21" i="2" s="1"/>
  <c r="D27" i="6"/>
  <c r="K21" i="2" s="1"/>
  <c r="W43" i="6"/>
  <c r="W25" i="8"/>
  <c r="D25" i="8" s="1"/>
  <c r="D10" i="8"/>
  <c r="L19" i="2" s="1"/>
  <c r="W26" i="8"/>
  <c r="D26" i="8" s="1"/>
  <c r="D11" i="8"/>
  <c r="L20" i="2" s="1"/>
  <c r="V24" i="6"/>
  <c r="V40" i="6" s="1"/>
  <c r="W67" i="6" l="1"/>
  <c r="W74" i="6" s="1"/>
  <c r="W55" i="7"/>
  <c r="D55" i="7" s="1"/>
  <c r="W19" i="7"/>
  <c r="D19" i="7" s="1"/>
  <c r="D73" i="6"/>
  <c r="V45" i="6"/>
  <c r="V46" i="6"/>
  <c r="W27" i="8"/>
  <c r="D27" i="8" s="1"/>
  <c r="D12" i="8"/>
  <c r="L21" i="2" s="1"/>
  <c r="T42" i="8"/>
  <c r="T43" i="8" s="1"/>
  <c r="T45" i="8" s="1"/>
  <c r="U35" i="8"/>
  <c r="U58" i="7" s="1"/>
  <c r="U20" i="8"/>
  <c r="U12" i="7"/>
  <c r="U13" i="7" s="1"/>
  <c r="U41" i="8"/>
  <c r="U53" i="7"/>
  <c r="U52" i="7" s="1"/>
  <c r="U38" i="8" s="1"/>
  <c r="U76" i="6"/>
  <c r="U17" i="7"/>
  <c r="U16" i="7" s="1"/>
  <c r="V49" i="6"/>
  <c r="V54" i="6" s="1"/>
  <c r="W16" i="6"/>
  <c r="V15" i="8"/>
  <c r="V14" i="8" s="1"/>
  <c r="V30" i="8"/>
  <c r="V29" i="8" s="1"/>
  <c r="V9" i="8"/>
  <c r="V29" i="6"/>
  <c r="V32" i="6"/>
  <c r="V37" i="6" s="1"/>
  <c r="W54" i="7"/>
  <c r="D54" i="7" s="1"/>
  <c r="W18" i="7"/>
  <c r="D18" i="7" s="1"/>
  <c r="D72" i="6"/>
  <c r="W57" i="7"/>
  <c r="D57" i="7" s="1"/>
  <c r="W21" i="7"/>
  <c r="D21" i="7" s="1"/>
  <c r="D75" i="6"/>
  <c r="D67" i="6" l="1"/>
  <c r="T46" i="8"/>
  <c r="T48" i="8" s="1"/>
  <c r="U61" i="7"/>
  <c r="U62" i="7" s="1"/>
  <c r="U64" i="7" s="1"/>
  <c r="V64" i="6"/>
  <c r="V71" i="6" s="1"/>
  <c r="W47" i="7"/>
  <c r="W41" i="7"/>
  <c r="W35" i="7"/>
  <c r="W23" i="7"/>
  <c r="W29" i="7"/>
  <c r="W21" i="6"/>
  <c r="D21" i="6" s="1"/>
  <c r="D16" i="6"/>
  <c r="V8" i="8"/>
  <c r="V24" i="8"/>
  <c r="V23" i="8" s="1"/>
  <c r="W56" i="7"/>
  <c r="D56" i="7" s="1"/>
  <c r="W20" i="7"/>
  <c r="D20" i="7" s="1"/>
  <c r="D74" i="6"/>
  <c r="W24" i="6"/>
  <c r="U21" i="8"/>
  <c r="U39" i="8"/>
  <c r="W30" i="8" l="1"/>
  <c r="W9" i="8"/>
  <c r="W15" i="8"/>
  <c r="W29" i="6"/>
  <c r="D29" i="6" s="1"/>
  <c r="W32" i="6"/>
  <c r="D24" i="6"/>
  <c r="K18" i="2" s="1"/>
  <c r="K23" i="2" s="1"/>
  <c r="V20" i="8"/>
  <c r="V35" i="8"/>
  <c r="V58" i="7" s="1"/>
  <c r="V12" i="7"/>
  <c r="V13" i="7" s="1"/>
  <c r="V41" i="8"/>
  <c r="W34" i="7"/>
  <c r="D34" i="7" s="1"/>
  <c r="D35" i="7"/>
  <c r="W28" i="7"/>
  <c r="D28" i="7" s="1"/>
  <c r="D29" i="7"/>
  <c r="W40" i="6"/>
  <c r="W22" i="7"/>
  <c r="D22" i="7" s="1"/>
  <c r="D23" i="7"/>
  <c r="U42" i="8"/>
  <c r="U43" i="8" s="1"/>
  <c r="U45" i="8" s="1"/>
  <c r="W40" i="7"/>
  <c r="D40" i="7" s="1"/>
  <c r="D41" i="7"/>
  <c r="W46" i="7"/>
  <c r="D46" i="7" s="1"/>
  <c r="D47" i="7"/>
  <c r="V76" i="6"/>
  <c r="V53" i="7"/>
  <c r="V52" i="7" s="1"/>
  <c r="V38" i="8" s="1"/>
  <c r="V17" i="7"/>
  <c r="V16" i="7" s="1"/>
  <c r="W49" i="6"/>
  <c r="U46" i="8" l="1"/>
  <c r="U48" i="8" s="1"/>
  <c r="V61" i="7"/>
  <c r="V62" i="7" s="1"/>
  <c r="V64" i="7" s="1"/>
  <c r="W54" i="6"/>
  <c r="V21" i="8"/>
  <c r="V39" i="8"/>
  <c r="W37" i="6"/>
  <c r="D37" i="6" s="1"/>
  <c r="D32" i="6"/>
  <c r="M18" i="2" s="1"/>
  <c r="M23" i="2" s="1"/>
  <c r="W14" i="8"/>
  <c r="D14" i="8" s="1"/>
  <c r="D15" i="8"/>
  <c r="W45" i="6"/>
  <c r="W46" i="6"/>
  <c r="D76" i="7" s="1"/>
  <c r="W64" i="6"/>
  <c r="W8" i="8"/>
  <c r="W24" i="8"/>
  <c r="D9" i="8"/>
  <c r="L18" i="2" s="1"/>
  <c r="L23" i="2" s="1"/>
  <c r="W29" i="8"/>
  <c r="D29" i="8" s="1"/>
  <c r="D30" i="8"/>
  <c r="W23" i="8" l="1"/>
  <c r="D23" i="8" s="1"/>
  <c r="D24" i="8"/>
  <c r="W35" i="8"/>
  <c r="W20" i="8"/>
  <c r="D53" i="8"/>
  <c r="O41" i="8"/>
  <c r="N41" i="8"/>
  <c r="P41" i="8"/>
  <c r="L41" i="8"/>
  <c r="S41" i="8"/>
  <c r="M41" i="8"/>
  <c r="D8" i="8"/>
  <c r="B6" i="2" s="1"/>
  <c r="D26" i="4" s="1"/>
  <c r="K41" i="8"/>
  <c r="K43" i="8" s="1"/>
  <c r="K45" i="8" s="1"/>
  <c r="L61" i="7" s="1"/>
  <c r="L62" i="7" s="1"/>
  <c r="L64" i="7" s="1"/>
  <c r="Q41" i="8"/>
  <c r="R41" i="8"/>
  <c r="D54" i="8"/>
  <c r="W41" i="8"/>
  <c r="W71" i="6"/>
  <c r="D64" i="6"/>
  <c r="V42" i="8"/>
  <c r="V43" i="8" s="1"/>
  <c r="V45" i="8" s="1"/>
  <c r="V46" i="8" s="1"/>
  <c r="V48" i="8" s="1"/>
  <c r="L68" i="7" l="1"/>
  <c r="L65" i="7"/>
  <c r="D55" i="8"/>
  <c r="B14" i="2" s="1"/>
  <c r="W12" i="7"/>
  <c r="D12" i="7" s="1"/>
  <c r="K46" i="8"/>
  <c r="W21" i="8"/>
  <c r="D20" i="8"/>
  <c r="D21" i="8" s="1"/>
  <c r="W13" i="7"/>
  <c r="W58" i="7"/>
  <c r="D58" i="7" s="1"/>
  <c r="D35" i="8"/>
  <c r="W53" i="7"/>
  <c r="W17" i="7"/>
  <c r="W76" i="6"/>
  <c r="D76" i="6" s="1"/>
  <c r="D71" i="6"/>
  <c r="L71" i="7" l="1"/>
  <c r="M7" i="7"/>
  <c r="L67" i="7"/>
  <c r="L66" i="7"/>
  <c r="L72" i="7"/>
  <c r="D13" i="7"/>
  <c r="D78" i="7" s="1"/>
  <c r="W52" i="7"/>
  <c r="D53" i="7"/>
  <c r="K48" i="8"/>
  <c r="K47" i="8"/>
  <c r="W16" i="7"/>
  <c r="D17" i="7"/>
  <c r="D16" i="7" l="1"/>
  <c r="D77" i="7"/>
  <c r="W38" i="8"/>
  <c r="D52" i="7"/>
  <c r="D38" i="8" l="1"/>
  <c r="W39" i="8"/>
  <c r="M42" i="8" l="1"/>
  <c r="M43" i="8" s="1"/>
  <c r="S42" i="8"/>
  <c r="S43" i="8" s="1"/>
  <c r="O42" i="8"/>
  <c r="O43" i="8" s="1"/>
  <c r="L42" i="8"/>
  <c r="L43" i="8" s="1"/>
  <c r="L45" i="8" s="1"/>
  <c r="M61" i="7" s="1"/>
  <c r="M62" i="7" s="1"/>
  <c r="M64" i="7" s="1"/>
  <c r="P42" i="8"/>
  <c r="P43" i="8" s="1"/>
  <c r="N42" i="8"/>
  <c r="N43" i="8" s="1"/>
  <c r="R42" i="8"/>
  <c r="R43" i="8" s="1"/>
  <c r="D39" i="8"/>
  <c r="Q42" i="8"/>
  <c r="Q43" i="8" s="1"/>
  <c r="W42" i="8"/>
  <c r="W43" i="8" s="1"/>
  <c r="W45" i="8" s="1"/>
  <c r="W61" i="7" s="1"/>
  <c r="W62" i="7" s="1"/>
  <c r="W64" i="7" s="1"/>
  <c r="M68" i="7" l="1"/>
  <c r="M65" i="7"/>
  <c r="N45" i="8"/>
  <c r="Q45" i="8"/>
  <c r="R61" i="7" s="1"/>
  <c r="R62" i="7" s="1"/>
  <c r="R64" i="7" s="1"/>
  <c r="P45" i="8"/>
  <c r="P46" i="8" s="1"/>
  <c r="P48" i="8" s="1"/>
  <c r="Q61" i="7"/>
  <c r="Q62" i="7" s="1"/>
  <c r="Q64" i="7" s="1"/>
  <c r="O45" i="8"/>
  <c r="R45" i="8"/>
  <c r="S45" i="8"/>
  <c r="S46" i="8" s="1"/>
  <c r="S48" i="8" s="1"/>
  <c r="Q46" i="8"/>
  <c r="Q48" i="8" s="1"/>
  <c r="T61" i="7"/>
  <c r="T62" i="7" s="1"/>
  <c r="T64" i="7" s="1"/>
  <c r="M45" i="8"/>
  <c r="M46" i="8" s="1"/>
  <c r="M48" i="8" s="1"/>
  <c r="L46" i="8"/>
  <c r="N61" i="7"/>
  <c r="W46" i="8"/>
  <c r="W48" i="8" s="1"/>
  <c r="D45" i="8" l="1"/>
  <c r="R46" i="8"/>
  <c r="R48" i="8" s="1"/>
  <c r="S61" i="7"/>
  <c r="S62" i="7" s="1"/>
  <c r="S64" i="7" s="1"/>
  <c r="O46" i="8"/>
  <c r="O48" i="8" s="1"/>
  <c r="P61" i="7"/>
  <c r="P62" i="7" s="1"/>
  <c r="P64" i="7" s="1"/>
  <c r="N46" i="8"/>
  <c r="N48" i="8" s="1"/>
  <c r="O61" i="7"/>
  <c r="O62" i="7" s="1"/>
  <c r="O64" i="7" s="1"/>
  <c r="M67" i="7"/>
  <c r="M71" i="7"/>
  <c r="M72" i="7"/>
  <c r="M66" i="7"/>
  <c r="N7" i="7"/>
  <c r="N62" i="7"/>
  <c r="L48" i="8"/>
  <c r="L47" i="8"/>
  <c r="M47" i="8" s="1"/>
  <c r="N47" i="8" s="1"/>
  <c r="O47" i="8" s="1"/>
  <c r="P47" i="8" s="1"/>
  <c r="Q47" i="8" s="1"/>
  <c r="R47" i="8" s="1"/>
  <c r="S47" i="8" s="1"/>
  <c r="T47" i="8" s="1"/>
  <c r="U47" i="8" s="1"/>
  <c r="V47" i="8" s="1"/>
  <c r="W47" i="8" s="1"/>
  <c r="D61" i="7" l="1"/>
  <c r="D79" i="7" s="1"/>
  <c r="D46" i="8"/>
  <c r="D48" i="8" s="1"/>
  <c r="N64" i="7"/>
  <c r="D62" i="7"/>
  <c r="E6" i="2" l="1"/>
  <c r="H6" i="2" s="1"/>
  <c r="E26" i="4" s="1"/>
  <c r="D82" i="7"/>
  <c r="N68" i="7"/>
  <c r="O68" i="7" s="1"/>
  <c r="P68" i="7" s="1"/>
  <c r="Q68" i="7" s="1"/>
  <c r="R68" i="7" s="1"/>
  <c r="S68" i="7" s="1"/>
  <c r="T68" i="7" s="1"/>
  <c r="U68" i="7" s="1"/>
  <c r="N65" i="7"/>
  <c r="D64" i="7"/>
  <c r="C11" i="9" l="1"/>
  <c r="C22" i="9"/>
  <c r="C26" i="4"/>
  <c r="N67" i="7"/>
  <c r="O7" i="7"/>
  <c r="N71" i="7"/>
  <c r="N72" i="7"/>
  <c r="O65" i="7"/>
  <c r="N66" i="7"/>
  <c r="V68" i="7"/>
  <c r="O66" i="7" l="1"/>
  <c r="O67" i="7"/>
  <c r="P65" i="7"/>
  <c r="P7" i="7"/>
  <c r="O72" i="7"/>
  <c r="O71" i="7"/>
  <c r="W68" i="7"/>
  <c r="V69" i="7" s="1"/>
  <c r="V70" i="7" s="1"/>
  <c r="P66" i="7" l="1"/>
  <c r="P67" i="7"/>
  <c r="P71" i="7"/>
  <c r="Q65" i="7"/>
  <c r="P72" i="7"/>
  <c r="Q7" i="7"/>
  <c r="U69" i="7"/>
  <c r="U70" i="7" s="1"/>
  <c r="O69" i="7"/>
  <c r="O70" i="7" s="1"/>
  <c r="W69" i="7"/>
  <c r="W70" i="7" s="1"/>
  <c r="B10" i="2"/>
  <c r="G69" i="7"/>
  <c r="G70" i="7" s="1"/>
  <c r="F69" i="7"/>
  <c r="F70" i="7" s="1"/>
  <c r="H69" i="7"/>
  <c r="H70" i="7" s="1"/>
  <c r="I69" i="7"/>
  <c r="I70" i="7" s="1"/>
  <c r="K69" i="7"/>
  <c r="K70" i="7" s="1"/>
  <c r="J69" i="7"/>
  <c r="J70" i="7" s="1"/>
  <c r="L69" i="7"/>
  <c r="L70" i="7" s="1"/>
  <c r="M69" i="7"/>
  <c r="M70" i="7" s="1"/>
  <c r="S69" i="7"/>
  <c r="S70" i="7" s="1"/>
  <c r="Q69" i="7"/>
  <c r="Q70" i="7" s="1"/>
  <c r="R69" i="7"/>
  <c r="R70" i="7" s="1"/>
  <c r="P69" i="7"/>
  <c r="P70" i="7" s="1"/>
  <c r="N69" i="7"/>
  <c r="N70" i="7" s="1"/>
  <c r="T69" i="7"/>
  <c r="T70" i="7" s="1"/>
  <c r="Q71" i="7" l="1"/>
  <c r="Q72" i="7"/>
  <c r="R7" i="7"/>
  <c r="Q67" i="7"/>
  <c r="R65" i="7"/>
  <c r="Q66" i="7"/>
  <c r="C33" i="9"/>
  <c r="G26" i="4"/>
  <c r="K6" i="2"/>
  <c r="F26" i="4" s="1"/>
  <c r="H10" i="2"/>
  <c r="I26" i="4" s="1"/>
  <c r="S65" i="7" l="1"/>
  <c r="R72" i="7"/>
  <c r="R67" i="7"/>
  <c r="R66" i="7"/>
  <c r="R71" i="7"/>
  <c r="S7" i="7"/>
  <c r="S67" i="7" l="1"/>
  <c r="S72" i="7"/>
  <c r="T7" i="7"/>
  <c r="S66" i="7"/>
  <c r="S71" i="7"/>
  <c r="T65" i="7"/>
  <c r="T66" i="7" l="1"/>
  <c r="T67" i="7"/>
  <c r="T72" i="7"/>
  <c r="T71" i="7"/>
  <c r="U7" i="7"/>
  <c r="U65" i="7"/>
  <c r="V65" i="7" l="1"/>
  <c r="U72" i="7"/>
  <c r="U66" i="7"/>
  <c r="U71" i="7"/>
  <c r="V7" i="7"/>
  <c r="U67" i="7"/>
  <c r="V66" i="7" l="1"/>
  <c r="W65" i="7"/>
  <c r="V67" i="7"/>
  <c r="V71" i="7"/>
  <c r="V72" i="7"/>
  <c r="W7" i="7"/>
  <c r="W72" i="7" l="1"/>
  <c r="W66" i="7"/>
  <c r="D75" i="7"/>
  <c r="D80" i="7" s="1"/>
  <c r="W71" i="7"/>
  <c r="W67" i="7"/>
  <c r="E11" i="2" s="1"/>
  <c r="D66" i="7" l="1"/>
  <c r="E10" i="2"/>
  <c r="D83" i="7"/>
  <c r="D84" i="7" s="1"/>
  <c r="B15" i="2" s="1"/>
  <c r="K10" i="2"/>
  <c r="H26" i="4" l="1"/>
  <c r="B13" i="2"/>
</calcChain>
</file>

<file path=xl/sharedStrings.xml><?xml version="1.0" encoding="utf-8"?>
<sst xmlns="http://schemas.openxmlformats.org/spreadsheetml/2006/main" count="664" uniqueCount="391">
  <si>
    <t>Финансовая модель: импорт автотоваров из Китая и продажа на маркетплейсах</t>
  </si>
  <si>
    <t>Сценарий:</t>
  </si>
  <si>
    <t>Налог:</t>
  </si>
  <si>
    <t>Период:</t>
  </si>
  <si>
    <t>по</t>
  </si>
  <si>
    <t>ДЕМО-ДАННЫЕ: все цифры — пример. Ставки пошлин, НДС, налогов и тарифы маркетплейса уточните под свой товар.</t>
  </si>
  <si>
    <t>ВЫРУЧКА ЗА ПЕРИОД</t>
  </si>
  <si>
    <t>ЧИСТАЯ ПРИБЫЛЬ</t>
  </si>
  <si>
    <t>РЕНТАБЕЛЬНОСТЬ ПРОДАЖ</t>
  </si>
  <si>
    <t>ROI НА ВЛОЖЕННЫЕ ДЕНЬГИ</t>
  </si>
  <si>
    <t>выкупы × цена, 18 мес</t>
  </si>
  <si>
    <t>после налога, 18 мес</t>
  </si>
  <si>
    <t>чистая прибыль / выручка</t>
  </si>
  <si>
    <t>чистая прибыль / пик вложений</t>
  </si>
  <si>
    <t>ПОТРЕБНОСТЬ В ДЕНЬГАХ</t>
  </si>
  <si>
    <t>МАКС. КАССОВЫЙ РАЗРЫВ</t>
  </si>
  <si>
    <t>ОКУПАЕМОСТЬ ВЛОЖЕНИЙ</t>
  </si>
  <si>
    <t>КАПИТАЛ НА КОНЕЦ</t>
  </si>
  <si>
    <t>пик вложенных денег</t>
  </si>
  <si>
    <t>месяц, с которого деньги не уходят в минус</t>
  </si>
  <si>
    <t>деньги + товар + дебиторка − налог</t>
  </si>
  <si>
    <t>Товар</t>
  </si>
  <si>
    <t>Цена, ₽</t>
  </si>
  <si>
    <t>Себест. на складе МП, ₽</t>
  </si>
  <si>
    <t>Прибыль на 1 шт, ₽</t>
  </si>
  <si>
    <t>Маржа</t>
  </si>
  <si>
    <t>ROI на 1 шт</t>
  </si>
  <si>
    <t>Точка безубыт., шт/мес</t>
  </si>
  <si>
    <t>План на плато, шт/мес</t>
  </si>
  <si>
    <t>Продано за период, шт</t>
  </si>
  <si>
    <t>Выручка за период, ₽</t>
  </si>
  <si>
    <t>Упущено, шт</t>
  </si>
  <si>
    <t>Итого</t>
  </si>
  <si>
    <t>Остаток денег на счёте, ₽</t>
  </si>
  <si>
    <t>Выручка и чистая прибыль по месяцам, ₽</t>
  </si>
  <si>
    <t>Из чего складывается цена, ₽ на 1 шт</t>
  </si>
  <si>
    <t>Что считает модель</t>
  </si>
  <si>
    <t>• Закупку товара в Китае партиями, доставку, таможенные платежи и продажи на маркетплейсе на 18 месяцев вперёд.</t>
  </si>
  <si>
    <t>• Юнит-экономику каждого товара: полную себестоимость, прибыль, маржу, наценку, ROI и точку безубыточности.</t>
  </si>
  <si>
    <t>• Денежный поток: когда уходят деньги на закупку и когда приходят выплаты маркетплейса; показывает кассовый разрыв — месяцы, когда денег не хватает.</t>
  </si>
  <si>
    <t>• ОПиУ (прибыль и убытки) по месяцам с налогом по выбранному режиму.</t>
  </si>
  <si>
    <t>• Три сценария (базовый, пессимистичный, оптимистичный) и таблицы чувствительности к курсу юаня, цене и объёму продаж.</t>
  </si>
  <si>
    <t>Как пользоваться</t>
  </si>
  <si>
    <t>1. Допущения</t>
  </si>
  <si>
    <t>Впишите свои данные в жёлтые ячейки: курс, тарифы доставки, товары (закупка в юанях, вес, объём, партия, цена продажи, плато продаж), ставки пошлины и НДС, комиссию и логистику маркетплейса, налоговый режим, стартовый капитал.</t>
  </si>
  <si>
    <t>2. Темп продаж</t>
  </si>
  <si>
    <t>На листе «Допущения», раздел 4: сколько процентов от плато продаётся в каждом месяце. Первые месяцы товар едет — ставьте 0 %.</t>
  </si>
  <si>
    <t>3. Сценарии</t>
  </si>
  <si>
    <t>Выберите сценарий в жёлтой ячейке листа «Сценарии». Проценты отклонений тоже можно менять.</t>
  </si>
  <si>
    <t>4. Дашборд</t>
  </si>
  <si>
    <t>Главные цифры, предупреждения и графики. Красное — внимание: кассовый разрыв, убыточный товар.</t>
  </si>
  <si>
    <t>5. Детали</t>
  </si>
  <si>
    <t>«Юнит-экономика» — каждая статья затрат на 1 шт; «Закупки и склад» — когда и сколько заказывать; «Денежный поток» и «ОПиУ» — по месяцам.</t>
  </si>
  <si>
    <t>6. Чувствительность</t>
  </si>
  <si>
    <t>Сколько заработаете при другом курсе, цене или объёме — без ручного перебора.</t>
  </si>
  <si>
    <t>Цвета ячеек</t>
  </si>
  <si>
    <t>Ввод данных</t>
  </si>
  <si>
    <t>Жёлтая ячейка с синим шрифтом — меняйте. Только эти ячейки не защищены.</t>
  </si>
  <si>
    <t>Расчёт</t>
  </si>
  <si>
    <t>Белая ячейка — формула. Защищена от случайной правки.</t>
  </si>
  <si>
    <t>Итог</t>
  </si>
  <si>
    <t>Серая ячейка с жирным шрифтом — итоговая строка.</t>
  </si>
  <si>
    <t>Служебная</t>
  </si>
  <si>
    <t>Серый курсив — техническая ячейка модели, не меняйте.</t>
  </si>
  <si>
    <t>Внимание</t>
  </si>
  <si>
    <t>Красная заливка — кассовый разрыв, убыток, нехватка товара.</t>
  </si>
  <si>
    <t>Заказ</t>
  </si>
  <si>
    <t>Зелёная заливка на листе «Закупки и склад» — месяц заказа партии.</t>
  </si>
  <si>
    <t>Листы книги (нажмите, чтобы перейти)</t>
  </si>
  <si>
    <t>Дашборд</t>
  </si>
  <si>
    <t>главные показатели, предупреждения, графики; печатается на одну страницу</t>
  </si>
  <si>
    <t>Допущения</t>
  </si>
  <si>
    <t>все исходные данные — только здесь и на листе «Сценарии»</t>
  </si>
  <si>
    <t>Сценарии</t>
  </si>
  <si>
    <t>выбор сценария и сравнение трёх сценариев в одной таблице</t>
  </si>
  <si>
    <t>Юнит-экономика</t>
  </si>
  <si>
    <t>расчёт на 1 проданную единицу по каждому товару</t>
  </si>
  <si>
    <t>Закупки и склад</t>
  </si>
  <si>
    <t>спрос, продажи, остатки, товар в пути, заказы партиями</t>
  </si>
  <si>
    <t>Денежный поток</t>
  </si>
  <si>
    <t>поступления и выплаты по месяцам, остаток денег, кассовый разрыв, контроль баланса</t>
  </si>
  <si>
    <t>ОПиУ</t>
  </si>
  <si>
    <t>выручка, себестоимость, расходы, налог, чистая прибыль по месяцам</t>
  </si>
  <si>
    <t>Чувствительность</t>
  </si>
  <si>
    <t>таблицы «что если»: курс × цена, курс × объём</t>
  </si>
  <si>
    <t>Допущения и упрощения</t>
  </si>
  <si>
    <t>• Курс юаня постоянный внутри сценария; колебания курса — через сценарии и лист «Чувствительность».</t>
  </si>
  <si>
    <t>• Таможенная стоимость = товар + доставка до склада в РФ (консервативно). Пошлина — от таможенной стоимости, НДС на ввоз — от таможенной стоимости с пошлиной. НДС на ввоз включён в себестоимость: на УСН и НПД он к вычету не принимается.</t>
  </si>
  <si>
    <t>• Ставки пошлин, НДС, налогов, тарифы доставки и маркетплейса в книге — ПРИМЕР. Задайте свои: пошлина — по коду ТН ВЭД, комиссия — по категории товара на своей площадке.</t>
  </si>
  <si>
    <t>• Продажи = выкупы. Возвраты увеличивают логистику маркетплейса (доставка туда и обратно), возвращённый товар снова идёт в продажу.</t>
  </si>
  <si>
    <t>• Заказ поставщику: товар оплачивается в месяц заказа, доставка и таможня — в месяц поступления. Заказ кратен партии; продажи не превышают остаток на складе.</t>
  </si>
  <si>
    <t>• Налог: база — данные ОПиУ по месяцу продажи (упрощение кассового метода УСН). УСН платится поквартально в месяце после квартала, НПД — в следующем месяце. Взносы ИП и НДС на УСН при превышении порога не считаются — дашборд предупреждает о пороге.</t>
  </si>
  <si>
    <t>• Окупаемость — месяц, начиная с которого накопленный денежный поток больше не уходит в минус. ROI = чистая прибыль / пик вложенных денег.</t>
  </si>
  <si>
    <t>Защита и проверка</t>
  </si>
  <si>
    <t>Листы защищены без пароля, чтобы случайно не стереть формулу. Снять защиту: Рецензирование → Снять защиту листа.</t>
  </si>
  <si>
    <t>Каждая формула сверена с независимым расчётом на Python (зеркальная модель): расхождение не больше 0,01 ₽. На листе «Денежный поток» есть контроль баланса: деньги + товар + дебиторка − налог = капитал + прибыль.</t>
  </si>
  <si>
    <t>Лист «Чувствительность» и сравнение сценариев используют «Таблицу данных» Excel (Данные → Анализ «что если»). В Google Таблицах эти две таблицы не пересчитываются.</t>
  </si>
  <si>
    <t>Допущения — ввод данных</t>
  </si>
  <si>
    <t>Жёлтые ячейки — ввод (можно менять). Остальные ячейки считаются формулами и защищены. Ставки пошлин, НДС, налогов и тарифы маркетплейса — параметры: уточните их под свой товар.</t>
  </si>
  <si>
    <t>1. Общие параметры</t>
  </si>
  <si>
    <t>Параметр</t>
  </si>
  <si>
    <t>Ед.</t>
  </si>
  <si>
    <t>Значение</t>
  </si>
  <si>
    <t>Комментарий</t>
  </si>
  <si>
    <t>Первый месяц модели (месяц первой оплаты поставщику)</t>
  </si>
  <si>
    <t>дата</t>
  </si>
  <si>
    <t>Горизонт модели — 18 месяцев с этой даты</t>
  </si>
  <si>
    <t>Стартовый капитал (свои деньги на счёте)</t>
  </si>
  <si>
    <t>₽</t>
  </si>
  <si>
    <t>Если остаток денег уходит в минус — это кассовый разрыв</t>
  </si>
  <si>
    <t>Курс юаня, базовый</t>
  </si>
  <si>
    <t>₽ за ¥</t>
  </si>
  <si>
    <t>Сценарии меняют курс относительно этого значения</t>
  </si>
  <si>
    <t>Комиссия агента / байера в Китае</t>
  </si>
  <si>
    <t>% товара</t>
  </si>
  <si>
    <t>Поиск поставщика, выкуп, контроль качества — по договору с агентом</t>
  </si>
  <si>
    <t>Банк и конвертация при оплате поставщику</t>
  </si>
  <si>
    <t>%</t>
  </si>
  <si>
    <t>От суммы «товар + агент»; платёжный агент или банк</t>
  </si>
  <si>
    <t>Как считать доставку из Китая</t>
  </si>
  <si>
    <t>список</t>
  </si>
  <si>
    <t>по большему</t>
  </si>
  <si>
    <t>по весу / по объёму / по большему из двух — как считает ваш перевозчик</t>
  </si>
  <si>
    <t>Доставка Китай → склад в РФ, тариф по весу</t>
  </si>
  <si>
    <t>₽/кг</t>
  </si>
  <si>
    <t>Уточните у карго / экспедитора</t>
  </si>
  <si>
    <t>Доставка Китай → склад в РФ, тариф по объёму</t>
  </si>
  <si>
    <t>₽/м³</t>
  </si>
  <si>
    <t>Таможенное оформление (брокер, сборы) на одну партию товара</t>
  </si>
  <si>
    <t>₽/партию</t>
  </si>
  <si>
    <t>Уточните у таможенного брокера. Если карго «под ключ» — 0, а пошлину и НДС на ввоз включите в тариф доставки</t>
  </si>
  <si>
    <t>Доставка со склада в РФ до склада маркетплейса</t>
  </si>
  <si>
    <t>Фулфилмент / транспортная компания</t>
  </si>
  <si>
    <t>Обратная логистика маркетплейса за один возврат</t>
  </si>
  <si>
    <t>₽/шт</t>
  </si>
  <si>
    <t>Уточните по тарифам своей площадки</t>
  </si>
  <si>
    <t>Реклама на маркетплейсе (доля рекламных расходов)</t>
  </si>
  <si>
    <t>% выручки</t>
  </si>
  <si>
    <t>Сценарии добавляют или убавляют п.п.</t>
  </si>
  <si>
    <t>Постоянные расходы (бухгалтерия, сервисы, персонал)</t>
  </si>
  <si>
    <t>₽/мес</t>
  </si>
  <si>
    <t>Каждый месяц с первого</t>
  </si>
  <si>
    <t>Разовые стартовые расходы (образцы, фото, карточки)</t>
  </si>
  <si>
    <t>Списываются в первом месяце</t>
  </si>
  <si>
    <t>Срок поставки: от оплаты поставщику до склада маркетплейса</t>
  </si>
  <si>
    <t>мес</t>
  </si>
  <si>
    <t>Целое число 1–6. Товар поступает в продажу через столько месяцев после заказа</t>
  </si>
  <si>
    <t>Страховой запас</t>
  </si>
  <si>
    <t>мес продаж</t>
  </si>
  <si>
    <t>Целое число 0–3. Сколько месяцев продаж держать сверх срока поставки</t>
  </si>
  <si>
    <t>Задержка выплат маркетплейса после продажи</t>
  </si>
  <si>
    <t>дней</t>
  </si>
  <si>
    <t>0–120 дней. Дробная часть месяца делится между месяцами</t>
  </si>
  <si>
    <t>Дней в месяце (для пересчёта задержки выплат)</t>
  </si>
  <si>
    <t>Обычно 30</t>
  </si>
  <si>
    <t>2. Налоги (ставки — параметры: проверьте свой режим и регион)</t>
  </si>
  <si>
    <t>Налоговый режим</t>
  </si>
  <si>
    <t>УСН 6%</t>
  </si>
  <si>
    <t>УСН 6 % — с доходов; УСН 15 % — с доходов минус расходы; НПД — для сравнения</t>
  </si>
  <si>
    <t>Режим</t>
  </si>
  <si>
    <t>Ставка</t>
  </si>
  <si>
    <t>Налог с выручки. Базовая ставка; регион может установить ниже — уточните</t>
  </si>
  <si>
    <t>УСН 15%</t>
  </si>
  <si>
    <t>Налог с разницы «доходы − расходы», считается нарастающим итогом с начала года</t>
  </si>
  <si>
    <t>НПД</t>
  </si>
  <si>
    <t>Внимание: НПД не применяется при перепродаже товаров (422-ФЗ, ст. 4) — режим оставлен для сравнения</t>
  </si>
  <si>
    <t>Минимальный налог при УСН 15 %</t>
  </si>
  <si>
    <t>% доходов</t>
  </si>
  <si>
    <t>В модели — нарастающим итогом с начала года (консервативно)</t>
  </si>
  <si>
    <t>Лимит дохода для НПД</t>
  </si>
  <si>
    <t>₽/год</t>
  </si>
  <si>
    <t>Параметр для предупреждения на дашборде — проверьте актуальный лимит</t>
  </si>
  <si>
    <t>Порог доходов, выше которого УСН платит НДС</t>
  </si>
  <si>
    <t>Пример — проверьте порог на свой год. НДС на УСН модель не считает, только предупреждает о превышении</t>
  </si>
  <si>
    <t>3. Товары (SKU): одна колонка — один товар</t>
  </si>
  <si>
    <t>Товар 1</t>
  </si>
  <si>
    <t>Товар 2</t>
  </si>
  <si>
    <t>Товар 3</t>
  </si>
  <si>
    <t>Товар 4</t>
  </si>
  <si>
    <t>Товар 5</t>
  </si>
  <si>
    <t>Наименование</t>
  </si>
  <si>
    <t>Органайзер в багажник</t>
  </si>
  <si>
    <t>Автопылесос беспроводной</t>
  </si>
  <si>
    <t>Держатель телефона MagSafe</t>
  </si>
  <si>
    <t>Чехлы на сиденья, комплект</t>
  </si>
  <si>
    <t>Видеорегистратор Wi-Fi</t>
  </si>
  <si>
    <t>Короткое название — попадёт в отчёты и графики</t>
  </si>
  <si>
    <t>Закупочная цена у поставщика</t>
  </si>
  <si>
    <t>¥/шт</t>
  </si>
  <si>
    <t>Цена фабрики (EXW/FOB) за единицу</t>
  </si>
  <si>
    <t>Вес брутто с упаковкой</t>
  </si>
  <si>
    <t>кг/шт</t>
  </si>
  <si>
    <t>Для тарифа доставки по весу</t>
  </si>
  <si>
    <t>Объём с упаковкой</t>
  </si>
  <si>
    <t>м³/шт</t>
  </si>
  <si>
    <t>Длина × ширина × высота коробки, м</t>
  </si>
  <si>
    <t>Партия закупки (кратность заказа)</t>
  </si>
  <si>
    <t>шт</t>
  </si>
  <si>
    <t>Минимальный заказ у поставщика; модель заказывает кратно партии</t>
  </si>
  <si>
    <t>Цена продажи на маркетплейсе</t>
  </si>
  <si>
    <t>Цена, которую платит покупатель (после скидок)</t>
  </si>
  <si>
    <t>Продажи на плато (выкупы)</t>
  </si>
  <si>
    <t>шт/мес</t>
  </si>
  <si>
    <t>Сколько штук в месяц покупатели выкупают при 100 % темпа</t>
  </si>
  <si>
    <t>Остаток на складе МП на старте</t>
  </si>
  <si>
    <t>Если товар уже есть на складе; обычно 0</t>
  </si>
  <si>
    <t>Ставка пошлины</t>
  </si>
  <si>
    <t>% тамож. стоим.</t>
  </si>
  <si>
    <t>Уточните по коду ТН ВЭД своего товара</t>
  </si>
  <si>
    <t>Ставка НДС на ввоз</t>
  </si>
  <si>
    <t>Уточните ставку для своего товара на дату ввоза</t>
  </si>
  <si>
    <t>Сертификация / декларация соответствия</t>
  </si>
  <si>
    <t>₽ разово</t>
  </si>
  <si>
    <t>Платится один раз, в месяц первого заказа товара</t>
  </si>
  <si>
    <t>Упаковка и маркировка</t>
  </si>
  <si>
    <t>Пакет, этикетка, коды маркировки, если нужны</t>
  </si>
  <si>
    <t>Комиссия маркетплейса</t>
  </si>
  <si>
    <t>% цены</t>
  </si>
  <si>
    <t>Уточните для своей категории и площадки</t>
  </si>
  <si>
    <t>Логистика маркетплейса до покупателя</t>
  </si>
  <si>
    <t>₽/заказ</t>
  </si>
  <si>
    <t>Доставка + хранение на заказ; уточните по тарифам площадки</t>
  </si>
  <si>
    <t>Доля возвратов</t>
  </si>
  <si>
    <t>% заказов</t>
  </si>
  <si>
    <t>Возвращённый товар возвращается в продажу; платится логистика туда и обратно</t>
  </si>
  <si>
    <t>4. Темп продаж по месяцам, % от плато (сезонность и выход на плато)</t>
  </si>
  <si>
    <t>Месяц</t>
  </si>
  <si>
    <t>Месяц №</t>
  </si>
  <si>
    <t>% от плато</t>
  </si>
  <si>
    <t>Первые месяцы товар едет из Китая — ставьте 0 %, если нет начального остатка</t>
  </si>
  <si>
    <t>5. Справочник (не менять)</t>
  </si>
  <si>
    <t>по весу</t>
  </si>
  <si>
    <t>по объёму</t>
  </si>
  <si>
    <t>Выберите сценарий в жёлтой ячейке — пересчитается вся книга. Базовый = значения листа «Допущения»; остальные сценарии — отклонения от них.</t>
  </si>
  <si>
    <t>Активный сценарий</t>
  </si>
  <si>
    <t>Базовый</t>
  </si>
  <si>
    <t>Отклонения от базовых допущений</t>
  </si>
  <si>
    <t>Пессимистичный</t>
  </si>
  <si>
    <t>Оптимистичный</t>
  </si>
  <si>
    <t>Действует сейчас</t>
  </si>
  <si>
    <t>Курс юаня</t>
  </si>
  <si>
    <t>% к базе</t>
  </si>
  <si>
    <t>Цена продажи</t>
  </si>
  <si>
    <t>Темп продаж</t>
  </si>
  <si>
    <t>Реклама (ДРР)</t>
  </si>
  <si>
    <t>п.п.</t>
  </si>
  <si>
    <t>Действующие значения (их использует вся модель)</t>
  </si>
  <si>
    <t>Множитель цены продажи</t>
  </si>
  <si>
    <t>×</t>
  </si>
  <si>
    <t>Множитель темпа продаж</t>
  </si>
  <si>
    <t>Реклама, доля выручки</t>
  </si>
  <si>
    <t>Налоговый режим (номер в списке)</t>
  </si>
  <si>
    <t>№</t>
  </si>
  <si>
    <t>Способ расчёта доставки (номер в списке)</t>
  </si>
  <si>
    <t>Номер активного сценария</t>
  </si>
  <si>
    <t>Служебная: номер сценария для таблицы сравнения (держать 0)</t>
  </si>
  <si>
    <t>Сравнение сценариев — все три сразу (таблица данных Excel, считается автоматически)</t>
  </si>
  <si>
    <t>Сценарий</t>
  </si>
  <si>
    <t>Чистая прибыль за 18 мес, ₽</t>
  </si>
  <si>
    <t>Выручка за 18 мес, ₽</t>
  </si>
  <si>
    <t>Рентабельность продаж</t>
  </si>
  <si>
    <t>ROI на вложенные деньги</t>
  </si>
  <si>
    <t>Потребность в деньгах (пик), ₽</t>
  </si>
  <si>
    <t>Макс. кассовый разрыв, ₽</t>
  </si>
  <si>
    <t>Окупаемость, мес</t>
  </si>
  <si>
    <t>Текущий расчёт (активный сценарий)</t>
  </si>
  <si>
    <t>Таблица пересчитывает всю модель для каждого сценария. Если в Excel включён режим «Автоматически, кроме таблиц данных», нажмите F9.</t>
  </si>
  <si>
    <t>Юнит-экономика: на 1 проданную единицу</t>
  </si>
  <si>
    <t>Показатель</t>
  </si>
  <si>
    <t>Цена</t>
  </si>
  <si>
    <t>Цена продажи с учётом сценария</t>
  </si>
  <si>
    <t>Себестоимость 1 шт до склада маркетплейса</t>
  </si>
  <si>
    <t>Закупочная цена</t>
  </si>
  <si>
    <t>¥</t>
  </si>
  <si>
    <t>₽/¥</t>
  </si>
  <si>
    <t>Комиссия агента</t>
  </si>
  <si>
    <t>Банк и конвертация</t>
  </si>
  <si>
    <t>Доставка Китай → РФ</t>
  </si>
  <si>
    <t>Таможенная стоимость (товар + доставка), справочно</t>
  </si>
  <si>
    <t>Пошлина</t>
  </si>
  <si>
    <t>НДС на ввоз</t>
  </si>
  <si>
    <t>Таможенное оформление на 1 шт</t>
  </si>
  <si>
    <t>Доставка до склада маркетплейса</t>
  </si>
  <si>
    <t>Себестоимость 1 шт на складе маркетплейса</t>
  </si>
  <si>
    <t>в т.ч. платится при заказе (товар, агент, банк)</t>
  </si>
  <si>
    <t>в т.ч. платится при поступлении (доставка, таможня, подготовка)</t>
  </si>
  <si>
    <t>Расходы на продажу, на 1 выкупленную шт</t>
  </si>
  <si>
    <t>Логистика маркетплейса с учётом возвратов</t>
  </si>
  <si>
    <t>Реклама</t>
  </si>
  <si>
    <t>Прибыль до налога</t>
  </si>
  <si>
    <t>Налог</t>
  </si>
  <si>
    <t>Полная себестоимость продажи</t>
  </si>
  <si>
    <t>Результат на 1 шт</t>
  </si>
  <si>
    <t>Прибыль на 1 шт</t>
  </si>
  <si>
    <t>Маржа (прибыль / цена)</t>
  </si>
  <si>
    <t>Наценка к себестоимости на складе МП</t>
  </si>
  <si>
    <t>ROI на вложенный рубль (прибыль / себестоимость)</t>
  </si>
  <si>
    <t>Безубыточность</t>
  </si>
  <si>
    <t>План продаж на плато с учётом сценария</t>
  </si>
  <si>
    <t>Доля товара в выручке на плато</t>
  </si>
  <si>
    <t>Постоянные расходы, приходящиеся на товар</t>
  </si>
  <si>
    <t>Точка безубыточности (покрыть свои постоянные расходы)</t>
  </si>
  <si>
    <t>Сертификация окупается за</t>
  </si>
  <si>
    <t>Закупки и склад: штуки по месяцам</t>
  </si>
  <si>
    <t>Логика заказа: каждый месяц модель проверяет остаток + товар в пути. Если их не хватает на продажи за срок поставки + страховой запас — заказывает партии (кратно партии SKU). Заказ приходит через «Срок поставки» месяцев.</t>
  </si>
  <si>
    <t>Старт</t>
  </si>
  <si>
    <t>1. Спрос: план выкупов</t>
  </si>
  <si>
    <t>плато, шт/мес</t>
  </si>
  <si>
    <t>2. Поступление на склад маркетплейса</t>
  </si>
  <si>
    <t>3. Продажи (выкупы) = min(спрос, доступный товар)</t>
  </si>
  <si>
    <t>4. Упущенные продажи — товара не было</t>
  </si>
  <si>
    <t>5. Остаток на складе на конец месяца</t>
  </si>
  <si>
    <t>себест. 1 шт, ₽</t>
  </si>
  <si>
    <t>Стоимость запаса по себестоимости</t>
  </si>
  <si>
    <t>6. Товар в пути (заказан, ещё не поступил)</t>
  </si>
  <si>
    <t>оплачено за 1 шт, ₽</t>
  </si>
  <si>
    <t>7. Нужно на срок поставки + страховой запас</t>
  </si>
  <si>
    <t>8. Заказ поставщику, партий</t>
  </si>
  <si>
    <t>партия, шт</t>
  </si>
  <si>
    <t>партий</t>
  </si>
  <si>
    <t>9. Заказ поставщику, штук</t>
  </si>
  <si>
    <t>Денежный поток по месяцам</t>
  </si>
  <si>
    <t>Покупка товара — деньги уходят при заказе (товар) и при поступлении (доставка, таможня). Выручка приходит с задержкой выплат маркетплейса. Красным — месяцы, когда денег не хватает (кассовый разрыв).</t>
  </si>
  <si>
    <t>Остаток денег на начало месяца</t>
  </si>
  <si>
    <t>ПОСТУПЛЕНИЯ</t>
  </si>
  <si>
    <t>Задержка выплат: целых месяцев (служебная)</t>
  </si>
  <si>
    <t>Доля выплат, которая приходит ещё на месяц позже (служебная)</t>
  </si>
  <si>
    <t>Начислено маркетплейсом к выплате (выручка − комиссия − логистика)</t>
  </si>
  <si>
    <t>Выплаты маркетплейса</t>
  </si>
  <si>
    <t>ВЫПЛАТЫ</t>
  </si>
  <si>
    <t>Оплата поставщику (товар + агент + банк)</t>
  </si>
  <si>
    <t>Доставка из Китая</t>
  </si>
  <si>
    <t>Таможенное оформление</t>
  </si>
  <si>
    <t>Упаковка, маркировка, доставка до склада МП</t>
  </si>
  <si>
    <t>Сертификация (в месяц первого заказа)</t>
  </si>
  <si>
    <t>Постоянные расходы</t>
  </si>
  <si>
    <t>Стартовые расходы</t>
  </si>
  <si>
    <t>Налог (уплата: УСН — поквартально, НПД — ежемесячно)</t>
  </si>
  <si>
    <t>Итого выплаты</t>
  </si>
  <si>
    <t>Чистый денежный поток за месяц</t>
  </si>
  <si>
    <t>Остаток денег на конец месяца</t>
  </si>
  <si>
    <t>Кассовый разрыв: не хватает денег</t>
  </si>
  <si>
    <t>макс. →</t>
  </si>
  <si>
    <t>Разрыв в этом месяце? (служебная)</t>
  </si>
  <si>
    <t>Накопленный денежный поток (без стартового капитала)</t>
  </si>
  <si>
    <t>Минимум накопленного потока до конца (служебная)</t>
  </si>
  <si>
    <t>Вложения окупились и больше не уходят в минус? (служебная)</t>
  </si>
  <si>
    <t>Для графика: остаток ≥ 0 (служебная)</t>
  </si>
  <si>
    <t>Для графика: остаток &lt; 0 (служебная)</t>
  </si>
  <si>
    <t>Итоги на конец периода и контроль баланса модели</t>
  </si>
  <si>
    <t>Деньги на счёте</t>
  </si>
  <si>
    <t>Товар на складе маркетплейса (по себестоимости)</t>
  </si>
  <si>
    <t>Товар в пути (уже оплачен поставщику)</t>
  </si>
  <si>
    <t>Маркетплейс ещё должен выплатить</t>
  </si>
  <si>
    <t>Налог начислен, но ещё не уплачен</t>
  </si>
  <si>
    <t>Капитал на конец периода (деньги + товар + дебиторка − налог)</t>
  </si>
  <si>
    <t>Начальный запас по себестоимости</t>
  </si>
  <si>
    <t>Стартовый капитал + начальный запас + чистая прибыль</t>
  </si>
  <si>
    <t>Разница (должна быть 0)</t>
  </si>
  <si>
    <t>Контроль баланса</t>
  </si>
  <si>
    <t>ОПиУ — отчёт о прибылях и убытках по месяцам (метод начисления)</t>
  </si>
  <si>
    <t>Выручка и себестоимость — по месяцу выкупа. Налог УСН 15 % считается нарастающим итогом с начала календарного года.</t>
  </si>
  <si>
    <t>Год (служебная)</t>
  </si>
  <si>
    <t>Выручка</t>
  </si>
  <si>
    <t>Себестоимость продаж</t>
  </si>
  <si>
    <t>Валовая прибыль</t>
  </si>
  <si>
    <t>Валовая маржа</t>
  </si>
  <si>
    <t>Логистика маркетплейса (с возвратами)</t>
  </si>
  <si>
    <t>Сертификация</t>
  </si>
  <si>
    <t>Доходы с начала года (служебная)</t>
  </si>
  <si>
    <t>Прибыль до налога с начала года (служебная)</t>
  </si>
  <si>
    <t>Налог с начала года (служебная)</t>
  </si>
  <si>
    <t>Налог (начислен за месяц)</t>
  </si>
  <si>
    <t>Чистая прибыль</t>
  </si>
  <si>
    <t>Чистая прибыль нарастающим итогом</t>
  </si>
  <si>
    <t>Рентабельность по чистой прибыли</t>
  </si>
  <si>
    <t>Выручка по календарным годам (для проверки лимитов НПД и порога НДС)</t>
  </si>
  <si>
    <t>Выручка за календарный год</t>
  </si>
  <si>
    <t>год</t>
  </si>
  <si>
    <t>Максимум за календарный год</t>
  </si>
  <si>
    <t>Чувствительность: как меняется результат от курса, цены и объёма</t>
  </si>
  <si>
    <t>Таблицы данных Excel пересчитывают всю модель для каждой клетки (от активного сценария; курс в таблице заменяет курс сценария). Оси — жёлтые, их можно менять. Если включён режим «Автоматически, кроме таблиц данных» — нажмите F9.</t>
  </si>
  <si>
    <t>Служебные ячейки анализа (не менять, должны быть 0)</t>
  </si>
  <si>
    <t>Курс для анализа, ₽/¥ (0 = курс сценария)</t>
  </si>
  <si>
    <t>Изменение цены для анализа</t>
  </si>
  <si>
    <t>Изменение объёма продаж для анализа</t>
  </si>
  <si>
    <t>1. Чистая прибыль за 18 мес, ₽: курс юаня × изменение цены продажи</t>
  </si>
  <si>
    <t>Курс ↓ / цена →</t>
  </si>
  <si>
    <t>2. Чистая прибыль за 18 мес, ₽: курс юаня × изменение объёма продаж</t>
  </si>
  <si>
    <t>Курс ↓ / объём →</t>
  </si>
  <si>
    <t>3. Потребность в деньгах (пик вложений), ₽: курс юаня × изменение объёма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</si>
</sst>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5" formatCode="dd\.mm\.yyyy"/>
    <numFmt numFmtId="166" formatCode="#,##0;[Red]\-#,##0;&quot;–&quot;"/>
    <numFmt numFmtId="167" formatCode="0.0%"/>
    <numFmt numFmtId="168" formatCode="0.0000"/>
    <numFmt numFmtId="169" formatCode="mmmm\ yyyy"/>
    <numFmt numFmtId="170" formatCode="\+0.0%;[Red]\-0.0%;0.0%"/>
    <numFmt numFmtId="171" formatCode="0.000"/>
    <numFmt numFmtId="172" formatCode="0.0%;[Red]\-0.0%;&quot;–&quot;"/>
    <numFmt numFmtId="173" formatCode="#,##0&quot; ₽&quot;;[Red]\-#,##0&quot; ₽&quot;;&quot;0 ₽&quot;"/>
    <numFmt numFmtId="174" formatCode="0%;[Red]\-0%"/>
    <numFmt numFmtId="175" formatCode="0&quot; мес&quot;"/>
    <numFmt numFmtId="176" formatCode="#,##0.0;[Red]\-#,##0.0;&quot;–&quot;"/>
    <numFmt numFmtId="177" formatCode="mmm\ yy"/>
    <numFmt numFmtId="178" formatCode="&quot;курс ↓   цена →&quot;;&quot;курс ↓   цена →&quot;;&quot;курс ↓   цена →&quot;"/>
    <numFmt numFmtId="179" formatCode="&quot;курс ↓   объём →&quot;;&quot;курс ↓   объём →&quot;;&quot;курс ↓   объём →&quot;"/>
    <numFmt numFmtId="180" formatCode="&quot;первый разрыв: &quot;mmmm\ yyyy;;;&quot;первый разрыв: &quot;@"/>
    <numFmt numFmtId="181" formatCode="0&quot; мес&quot;;;;@"/>
  </numFmts>
  <fonts count="17" x14ac:knownFonts="1">
    <font>
      <sz val="11"/>
      <color theme="1"/>
      <name val="Calibri"/>
      <family val="2"/>
      <scheme val="minor"/>
    </font>
    <font>
      <b/>
      <sz val="16"/>
      <color rgb="FF1F3864"/>
      <name val="Calibri"/>
    </font>
    <font>
      <i/>
      <sz val="9"/>
      <color rgb="FF7F7F7F"/>
      <name val="Calibri"/>
    </font>
    <font>
      <b/>
      <i/>
      <sz val="10"/>
      <color rgb="FFC00000"/>
      <name val="Calibri"/>
    </font>
    <font>
      <sz val="10"/>
      <name val="Calibri"/>
    </font>
    <font>
      <b/>
      <sz val="10"/>
      <name val="Calibri"/>
    </font>
    <font>
      <b/>
      <sz val="10"/>
      <color rgb="FFFFFFFF"/>
      <name val="Calibri"/>
    </font>
    <font>
      <sz val="10"/>
      <color rgb="FF1F4E79"/>
      <name val="Calibri"/>
    </font>
    <font>
      <b/>
      <sz val="10"/>
      <color rgb="FF1F4E79"/>
      <name val="Calibri"/>
    </font>
    <font>
      <b/>
      <sz val="11"/>
      <color rgb="FF1F3864"/>
      <name val="Calibri"/>
    </font>
    <font>
      <b/>
      <sz val="9"/>
      <color rgb="FF7F7F7F"/>
      <name val="Calibri"/>
    </font>
    <font>
      <b/>
      <sz val="18"/>
      <color rgb="FF1F3864"/>
      <name val="Calibri"/>
    </font>
    <font>
      <b/>
      <sz val="11"/>
      <color rgb="FFC00000"/>
      <name val="Calibri"/>
    </font>
    <font>
      <b/>
      <sz val="10"/>
      <color rgb="FFC55A11"/>
      <name val="Calibri"/>
    </font>
    <font>
      <b/>
      <sz val="10"/>
      <color rgb="FFC00000"/>
      <name val="Calibri"/>
    </font>
    <font>
      <b/>
      <sz val="10"/>
      <color rgb="FF548235"/>
      <name val="Calibri"/>
    </font>
    <font>
      <u/>
      <sz val="10"/>
      <color rgb="FF0563C1"/>
      <name val="Calibri"/>
    </font>
  </fonts>
  <fills count="10">
    <fill>
      <patternFill patternType="none"/>
    </fill>
    <fill>
      <patternFill patternType="gray125"/>
    </fill>
    <fill>
      <patternFill patternType="solid">
        <fgColor rgb="FFD9E1F2"/>
      </patternFill>
    </fill>
    <fill>
      <patternFill patternType="solid">
        <fgColor rgb="FF1F3864"/>
      </patternFill>
    </fill>
    <fill>
      <patternFill patternType="solid">
        <fgColor rgb="FFFFF2CC"/>
      </patternFill>
    </fill>
    <fill>
      <patternFill patternType="solid">
        <fgColor rgb="FFF2F2F2"/>
      </patternFill>
    </fill>
    <fill>
      <patternFill patternType="solid">
        <fgColor rgb="FFEDEDED"/>
      </patternFill>
    </fill>
    <fill>
      <patternFill patternType="solid">
        <fgColor rgb="FFF3F6FB"/>
      </patternFill>
    </fill>
    <fill>
      <patternFill patternType="solid">
        <fgColor rgb="FFF8CBAD"/>
      </patternFill>
    </fill>
    <fill>
      <patternFill patternType="solid">
        <fgColor rgb="FFE2EFDA"/>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top/>
      <bottom style="thin">
        <color rgb="FF2F5597"/>
      </bottom>
      <diagonal/>
    </border>
  </borders>
  <cellStyleXfs count="1">
    <xf numFmtId="0" fontId="0" fillId="0" borderId="0"/>
  </cellStyleXfs>
  <cellXfs count="117">
    <xf numFmtId="0" fontId="0" fillId="0" borderId="0" xfId="0"/>
    <xf numFmtId="0" fontId="1" fillId="0" borderId="0" xfId="0" applyFont="1"/>
    <xf numFmtId="0" fontId="3" fillId="0" borderId="0" xfId="0" applyFont="1"/>
    <xf numFmtId="0" fontId="9" fillId="0" borderId="3" xfId="0" applyFont="1" applyBorder="1"/>
    <xf numFmtId="0" fontId="4" fillId="0" borderId="3" xfId="0" applyFont="1" applyBorder="1"/>
    <xf numFmtId="0" fontId="4" fillId="0" borderId="0" xfId="0" applyFont="1" applyAlignment="1">
      <alignment horizontal="left" vertical="top" wrapText="1"/>
    </xf>
    <xf numFmtId="0" fontId="5" fillId="0" borderId="0" xfId="0" applyFont="1" applyAlignment="1">
      <alignment horizontal="left" vertical="top" wrapText="1"/>
    </xf>
    <xf numFmtId="0" fontId="7"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6" fillId="0" borderId="0" xfId="0" applyFont="1"/>
    <xf numFmtId="0" fontId="4" fillId="0" borderId="0" xfId="0" applyFont="1"/>
    <xf numFmtId="0" fontId="2" fillId="0" borderId="0" xfId="0" applyFont="1" applyAlignment="1">
      <alignment horizontal="right" vertical="center"/>
    </xf>
    <xf numFmtId="0" fontId="5" fillId="0" borderId="0" xfId="0" applyFont="1"/>
    <xf numFmtId="169" fontId="5" fillId="0" borderId="0" xfId="0" applyNumberFormat="1" applyFont="1" applyAlignment="1">
      <alignment horizontal="left" vertical="center"/>
    </xf>
    <xf numFmtId="0" fontId="2" fillId="0" borderId="0" xfId="0" applyFont="1"/>
    <xf numFmtId="0" fontId="6" fillId="3" borderId="1" xfId="0" applyFont="1" applyFill="1" applyBorder="1" applyAlignment="1">
      <alignment horizontal="center" vertical="center" wrapText="1"/>
    </xf>
    <xf numFmtId="0" fontId="5" fillId="0" borderId="1" xfId="0" applyFont="1" applyBorder="1"/>
    <xf numFmtId="166" fontId="4" fillId="0" borderId="1" xfId="0" applyNumberFormat="1" applyFont="1" applyBorder="1" applyAlignment="1">
      <alignment horizontal="right" vertical="center"/>
    </xf>
    <xf numFmtId="172" fontId="4" fillId="0" borderId="1" xfId="0" applyNumberFormat="1" applyFont="1" applyBorder="1" applyAlignment="1">
      <alignment horizontal="right" vertical="center"/>
    </xf>
    <xf numFmtId="166" fontId="5" fillId="5" borderId="1" xfId="0" applyNumberFormat="1" applyFont="1" applyFill="1" applyBorder="1" applyAlignment="1">
      <alignment horizontal="right" vertical="center"/>
    </xf>
    <xf numFmtId="0" fontId="9" fillId="0" borderId="0" xfId="0" applyFont="1"/>
    <xf numFmtId="0" fontId="5" fillId="2" borderId="0" xfId="0" applyFont="1" applyFill="1"/>
    <xf numFmtId="0" fontId="4" fillId="2" borderId="0" xfId="0" applyFont="1" applyFill="1"/>
    <xf numFmtId="0" fontId="6" fillId="3" borderId="0" xfId="0" applyFont="1" applyFill="1"/>
    <xf numFmtId="0" fontId="2" fillId="0" borderId="0" xfId="0" applyFont="1" applyAlignment="1">
      <alignment horizontal="center" vertical="center" wrapText="1"/>
    </xf>
    <xf numFmtId="165" fontId="7" fillId="4" borderId="1" xfId="0" applyNumberFormat="1" applyFont="1" applyFill="1" applyBorder="1" applyProtection="1">
      <protection locked="0"/>
    </xf>
    <xf numFmtId="166" fontId="7" fillId="4" borderId="1" xfId="0" applyNumberFormat="1" applyFont="1" applyFill="1" applyBorder="1" applyProtection="1">
      <protection locked="0"/>
    </xf>
    <xf numFmtId="2" fontId="7" fillId="4" borderId="1" xfId="0" applyNumberFormat="1" applyFont="1" applyFill="1" applyBorder="1" applyProtection="1">
      <protection locked="0"/>
    </xf>
    <xf numFmtId="167" fontId="7" fillId="4" borderId="1" xfId="0" applyNumberFormat="1" applyFont="1" applyFill="1" applyBorder="1" applyProtection="1">
      <protection locked="0"/>
    </xf>
    <xf numFmtId="0" fontId="7" fillId="4" borderId="1" xfId="0" applyFont="1" applyFill="1" applyBorder="1" applyProtection="1">
      <protection locked="0"/>
    </xf>
    <xf numFmtId="1" fontId="7" fillId="4" borderId="1" xfId="0" applyNumberFormat="1" applyFont="1" applyFill="1" applyBorder="1" applyProtection="1">
      <protection locked="0"/>
    </xf>
    <xf numFmtId="0" fontId="8" fillId="4" borderId="1" xfId="0" applyFont="1" applyFill="1" applyBorder="1" applyProtection="1">
      <protection locked="0"/>
    </xf>
    <xf numFmtId="0" fontId="8" fillId="4" borderId="1" xfId="0" applyFont="1" applyFill="1" applyBorder="1" applyAlignment="1" applyProtection="1">
      <alignment horizontal="center" vertical="center" wrapText="1"/>
      <protection locked="0"/>
    </xf>
    <xf numFmtId="4" fontId="7" fillId="4" borderId="1" xfId="0" applyNumberFormat="1" applyFont="1" applyFill="1" applyBorder="1" applyProtection="1">
      <protection locked="0"/>
    </xf>
    <xf numFmtId="168" fontId="7" fillId="4" borderId="1" xfId="0" applyNumberFormat="1" applyFont="1" applyFill="1" applyBorder="1" applyProtection="1">
      <protection locked="0"/>
    </xf>
    <xf numFmtId="169" fontId="4" fillId="0" borderId="0" xfId="0" applyNumberFormat="1" applyFont="1" applyAlignment="1">
      <alignment horizontal="left" vertical="center"/>
    </xf>
    <xf numFmtId="1" fontId="4" fillId="0" borderId="0" xfId="0" applyNumberFormat="1" applyFont="1" applyAlignment="1">
      <alignment horizontal="center" vertical="center" wrapText="1"/>
    </xf>
    <xf numFmtId="9" fontId="7" fillId="4" borderId="1" xfId="0" applyNumberFormat="1" applyFont="1" applyFill="1" applyBorder="1" applyProtection="1">
      <protection locked="0"/>
    </xf>
    <xf numFmtId="170" fontId="7" fillId="4" borderId="1" xfId="0" applyNumberFormat="1" applyFont="1" applyFill="1" applyBorder="1" applyProtection="1">
      <protection locked="0"/>
    </xf>
    <xf numFmtId="170" fontId="5" fillId="5" borderId="1" xfId="0" applyNumberFormat="1" applyFont="1" applyFill="1" applyBorder="1"/>
    <xf numFmtId="2" fontId="5" fillId="5" borderId="1" xfId="0" applyNumberFormat="1" applyFont="1" applyFill="1" applyBorder="1"/>
    <xf numFmtId="171" fontId="5" fillId="5" borderId="1" xfId="0" applyNumberFormat="1" applyFont="1" applyFill="1" applyBorder="1"/>
    <xf numFmtId="172" fontId="5" fillId="5" borderId="1" xfId="0" applyNumberFormat="1" applyFont="1" applyFill="1" applyBorder="1"/>
    <xf numFmtId="1" fontId="5" fillId="5" borderId="1" xfId="0" applyNumberFormat="1" applyFont="1" applyFill="1" applyBorder="1"/>
    <xf numFmtId="1" fontId="2" fillId="6" borderId="1" xfId="0" applyNumberFormat="1" applyFont="1" applyFill="1" applyBorder="1"/>
    <xf numFmtId="1" fontId="2" fillId="0" borderId="0" xfId="0" applyNumberFormat="1" applyFont="1" applyAlignment="1">
      <alignment horizontal="center" vertical="center" wrapText="1"/>
    </xf>
    <xf numFmtId="173" fontId="2" fillId="0" borderId="0" xfId="0" applyNumberFormat="1" applyFont="1" applyAlignment="1">
      <alignment horizontal="right" vertical="center"/>
    </xf>
    <xf numFmtId="172" fontId="2" fillId="0" borderId="0" xfId="0" applyNumberFormat="1" applyFont="1" applyAlignment="1">
      <alignment horizontal="right" vertical="center"/>
    </xf>
    <xf numFmtId="174" fontId="2" fillId="0" borderId="0" xfId="0" applyNumberFormat="1" applyFont="1" applyAlignment="1">
      <alignment horizontal="right" vertical="center"/>
    </xf>
    <xf numFmtId="175" fontId="2" fillId="0" borderId="0" xfId="0" applyNumberFormat="1" applyFont="1" applyAlignment="1">
      <alignment horizontal="right" vertical="center"/>
    </xf>
    <xf numFmtId="1" fontId="2" fillId="6" borderId="1" xfId="0" applyNumberFormat="1" applyFont="1" applyFill="1" applyBorder="1" applyAlignment="1">
      <alignment horizontal="center" vertical="center" wrapText="1"/>
    </xf>
    <xf numFmtId="173" fontId="5" fillId="0" borderId="1" xfId="0" applyNumberFormat="1" applyFont="1" applyBorder="1"/>
    <xf numFmtId="172" fontId="5" fillId="0" borderId="1" xfId="0" applyNumberFormat="1" applyFont="1" applyBorder="1"/>
    <xf numFmtId="174" fontId="5" fillId="0" borderId="1" xfId="0" applyNumberFormat="1" applyFont="1" applyBorder="1"/>
    <xf numFmtId="175" fontId="5" fillId="0" borderId="1" xfId="0" applyNumberFormat="1" applyFont="1" applyBorder="1"/>
    <xf numFmtId="0" fontId="5" fillId="5" borderId="0" xfId="0" applyFont="1" applyFill="1" applyAlignment="1">
      <alignment horizontal="left" vertical="center"/>
    </xf>
    <xf numFmtId="0" fontId="2" fillId="5" borderId="0" xfId="0" applyFont="1" applyFill="1" applyAlignment="1">
      <alignment horizontal="center" vertical="center" wrapText="1"/>
    </xf>
    <xf numFmtId="176" fontId="5" fillId="5" borderId="1" xfId="0" applyNumberFormat="1" applyFont="1" applyFill="1" applyBorder="1"/>
    <xf numFmtId="0" fontId="4" fillId="0" borderId="0" xfId="0" applyFont="1" applyAlignment="1">
      <alignment horizontal="left" vertical="center"/>
    </xf>
    <xf numFmtId="4" fontId="4" fillId="0" borderId="1" xfId="0" applyNumberFormat="1" applyFont="1" applyBorder="1"/>
    <xf numFmtId="2" fontId="4" fillId="0" borderId="1" xfId="0" applyNumberFormat="1" applyFont="1" applyBorder="1"/>
    <xf numFmtId="176" fontId="4" fillId="0" borderId="1" xfId="0" applyNumberFormat="1" applyFont="1" applyBorder="1"/>
    <xf numFmtId="0" fontId="2" fillId="0" borderId="0" xfId="0" applyFont="1" applyAlignment="1">
      <alignment horizontal="left" vertical="center" indent="2"/>
    </xf>
    <xf numFmtId="176" fontId="2" fillId="0" borderId="1" xfId="0" applyNumberFormat="1" applyFont="1" applyBorder="1"/>
    <xf numFmtId="172" fontId="4" fillId="0" borderId="1" xfId="0" applyNumberFormat="1" applyFont="1" applyBorder="1"/>
    <xf numFmtId="166" fontId="4" fillId="0" borderId="1" xfId="0" applyNumberFormat="1" applyFont="1" applyBorder="1"/>
    <xf numFmtId="0" fontId="6" fillId="3" borderId="0" xfId="0" applyFont="1" applyFill="1" applyAlignment="1">
      <alignment horizontal="center" vertical="center" wrapText="1"/>
    </xf>
    <xf numFmtId="177" fontId="6" fillId="3" borderId="0" xfId="0" applyNumberFormat="1" applyFont="1" applyFill="1" applyAlignment="1">
      <alignment horizontal="center" vertical="center" wrapText="1"/>
    </xf>
    <xf numFmtId="0" fontId="2" fillId="2" borderId="0" xfId="0" applyFont="1" applyFill="1"/>
    <xf numFmtId="0" fontId="4" fillId="0" borderId="0" xfId="0" applyFont="1" applyAlignment="1">
      <alignment horizontal="left" vertical="center" indent="2"/>
    </xf>
    <xf numFmtId="166" fontId="2" fillId="0" borderId="0" xfId="0" applyNumberFormat="1" applyFont="1"/>
    <xf numFmtId="166" fontId="5" fillId="5" borderId="0" xfId="0" applyNumberFormat="1" applyFont="1" applyFill="1"/>
    <xf numFmtId="166" fontId="4" fillId="0" borderId="0" xfId="0" applyNumberFormat="1" applyFont="1"/>
    <xf numFmtId="166" fontId="2" fillId="5" borderId="0" xfId="0" applyNumberFormat="1" applyFont="1" applyFill="1"/>
    <xf numFmtId="1" fontId="2" fillId="0" borderId="0" xfId="0" applyNumberFormat="1" applyFont="1"/>
    <xf numFmtId="172" fontId="2" fillId="0" borderId="0" xfId="0" applyNumberFormat="1" applyFont="1"/>
    <xf numFmtId="0" fontId="2" fillId="0" borderId="0" xfId="0" applyFont="1" applyAlignment="1">
      <alignment horizontal="left" vertical="center"/>
    </xf>
    <xf numFmtId="176" fontId="2" fillId="0" borderId="0" xfId="0" applyNumberFormat="1" applyFont="1"/>
    <xf numFmtId="0" fontId="5" fillId="2" borderId="0" xfId="0" applyFont="1" applyFill="1" applyAlignment="1">
      <alignment horizontal="left" vertical="center"/>
    </xf>
    <xf numFmtId="0" fontId="2" fillId="2" borderId="0" xfId="0" applyFont="1" applyFill="1" applyAlignment="1">
      <alignment horizontal="center" vertical="center" wrapText="1"/>
    </xf>
    <xf numFmtId="166" fontId="2" fillId="2" borderId="0" xfId="0" applyNumberFormat="1" applyFont="1" applyFill="1"/>
    <xf numFmtId="166" fontId="5" fillId="2" borderId="0" xfId="0" applyNumberFormat="1" applyFont="1" applyFill="1"/>
    <xf numFmtId="166" fontId="2" fillId="0" borderId="0" xfId="0" applyNumberFormat="1" applyFont="1" applyAlignment="1">
      <alignment horizontal="right" vertical="center"/>
    </xf>
    <xf numFmtId="0" fontId="5" fillId="5" borderId="0" xfId="0" applyFont="1" applyFill="1"/>
    <xf numFmtId="0" fontId="5" fillId="0" borderId="0" xfId="0" applyFont="1" applyAlignment="1">
      <alignment horizontal="left" vertical="center"/>
    </xf>
    <xf numFmtId="166" fontId="5" fillId="5" borderId="1" xfId="0" applyNumberFormat="1" applyFont="1" applyFill="1" applyBorder="1"/>
    <xf numFmtId="1" fontId="5" fillId="5" borderId="0" xfId="0" applyNumberFormat="1" applyFont="1" applyFill="1"/>
    <xf numFmtId="172" fontId="5" fillId="5" borderId="0" xfId="0" applyNumberFormat="1" applyFont="1" applyFill="1"/>
    <xf numFmtId="172" fontId="4" fillId="0" borderId="0" xfId="0" applyNumberFormat="1" applyFont="1"/>
    <xf numFmtId="1" fontId="4" fillId="0" borderId="0" xfId="0" applyNumberFormat="1" applyFont="1"/>
    <xf numFmtId="166" fontId="5" fillId="0" borderId="0" xfId="0" applyNumberFormat="1" applyFont="1"/>
    <xf numFmtId="2" fontId="2" fillId="6" borderId="1" xfId="0" applyNumberFormat="1" applyFont="1" applyFill="1" applyBorder="1"/>
    <xf numFmtId="170" fontId="2" fillId="6" borderId="1" xfId="0" applyNumberFormat="1" applyFont="1" applyFill="1" applyBorder="1"/>
    <xf numFmtId="178" fontId="2" fillId="5" borderId="1" xfId="0" applyNumberFormat="1" applyFont="1" applyFill="1" applyBorder="1" applyAlignment="1">
      <alignment horizontal="center" vertical="center" wrapText="1"/>
    </xf>
    <xf numFmtId="170" fontId="8" fillId="4" borderId="1" xfId="0" applyNumberFormat="1" applyFont="1" applyFill="1" applyBorder="1" applyAlignment="1" applyProtection="1">
      <alignment horizontal="center" vertical="center" wrapText="1"/>
      <protection locked="0"/>
    </xf>
    <xf numFmtId="2" fontId="8" fillId="4" borderId="1" xfId="0" applyNumberFormat="1" applyFont="1" applyFill="1" applyBorder="1" applyAlignment="1" applyProtection="1">
      <alignment horizontal="center" vertical="center" wrapText="1"/>
      <protection locked="0"/>
    </xf>
    <xf numFmtId="179" fontId="2" fillId="5" borderId="1" xfId="0" applyNumberFormat="1" applyFont="1" applyFill="1" applyBorder="1" applyAlignment="1">
      <alignment horizontal="center" vertical="center" wrapText="1"/>
    </xf>
    <xf numFmtId="0" fontId="2" fillId="7" borderId="0" xfId="0" applyFont="1" applyFill="1" applyAlignment="1">
      <alignment horizontal="center" vertical="center" wrapText="1"/>
    </xf>
    <xf numFmtId="0" fontId="0" fillId="0" borderId="0" xfId="0"/>
    <xf numFmtId="173" fontId="11" fillId="7" borderId="0" xfId="0" applyNumberFormat="1" applyFont="1" applyFill="1" applyAlignment="1">
      <alignment horizontal="center" vertical="center" wrapText="1"/>
    </xf>
    <xf numFmtId="0" fontId="13" fillId="0" borderId="0" xfId="0" applyFont="1" applyAlignment="1">
      <alignment horizontal="left" vertical="center"/>
    </xf>
    <xf numFmtId="0" fontId="5" fillId="0" borderId="1" xfId="0" applyFont="1" applyBorder="1"/>
    <xf numFmtId="0" fontId="0" fillId="0" borderId="2" xfId="0" applyBorder="1"/>
    <xf numFmtId="0" fontId="10" fillId="7" borderId="0" xfId="0" applyFont="1" applyFill="1" applyAlignment="1">
      <alignment horizontal="center" vertical="center" wrapText="1"/>
    </xf>
    <xf numFmtId="0" fontId="12" fillId="0" borderId="0" xfId="0" applyFont="1" applyAlignment="1">
      <alignment horizontal="left" vertical="center"/>
    </xf>
    <xf numFmtId="180" fontId="2" fillId="7" borderId="0" xfId="0" applyNumberFormat="1" applyFont="1" applyFill="1" applyAlignment="1">
      <alignment horizontal="center" vertical="center" wrapText="1"/>
    </xf>
    <xf numFmtId="0" fontId="5" fillId="5" borderId="1" xfId="0" applyFont="1" applyFill="1" applyBorder="1"/>
    <xf numFmtId="0" fontId="6" fillId="3" borderId="1" xfId="0" applyFont="1" applyFill="1" applyBorder="1" applyAlignment="1">
      <alignment horizontal="center" vertical="center" wrapText="1"/>
    </xf>
    <xf numFmtId="174" fontId="11" fillId="7" borderId="0" xfId="0" applyNumberFormat="1" applyFont="1" applyFill="1" applyAlignment="1">
      <alignment horizontal="center" vertical="center" wrapText="1"/>
    </xf>
    <xf numFmtId="181" fontId="11" fillId="7" borderId="0" xfId="0" applyNumberFormat="1" applyFont="1" applyFill="1" applyAlignment="1">
      <alignment horizontal="center" vertical="center" wrapText="1"/>
    </xf>
    <xf numFmtId="172" fontId="11" fillId="7" borderId="0" xfId="0" applyNumberFormat="1" applyFont="1" applyFill="1" applyAlignment="1">
      <alignment horizontal="center" vertical="center" wrapText="1"/>
    </xf>
    <xf numFmtId="0" fontId="8" fillId="4" borderId="1" xfId="0" applyFont="1" applyFill="1" applyBorder="1" applyProtection="1">
      <protection locked="0"/>
    </xf>
    <xf numFmtId="0" fontId="0" fillId="0" borderId="2" xfId="0" applyBorder="1" applyProtection="1">
      <protection locked="0"/>
    </xf>
  </cellXfs>
  <cellStyles count="1">
    <cellStyle name="Обычный" xfId="0" builtinId="0"/>
  </cellStyles>
  <dxfs count="21">
    <dxf>
      <font>
        <b/>
        <color rgb="FFC00000"/>
      </font>
    </dxf>
    <dxf>
      <font>
        <b/>
        <color rgb="FFC00000"/>
      </font>
    </dxf>
    <dxf>
      <font>
        <b/>
        <color rgb="FFC00000"/>
      </font>
      <fill>
        <patternFill patternType="solid">
          <fgColor rgb="FFF8CBAD"/>
        </patternFill>
      </fill>
    </dxf>
    <dxf>
      <font>
        <b/>
        <color rgb="FFC00000"/>
      </font>
      <fill>
        <patternFill patternType="solid">
          <fgColor rgb="FFF8CBAD"/>
        </patternFill>
      </fill>
    </dxf>
    <dxf>
      <font>
        <b/>
        <color rgb="FFC00000"/>
      </font>
      <fill>
        <patternFill patternType="solid">
          <fgColor rgb="FFF8CBAD"/>
        </patternFill>
      </fill>
    </dxf>
    <dxf>
      <font>
        <b/>
        <color rgb="FF548235"/>
      </font>
      <fill>
        <patternFill patternType="solid">
          <fgColor rgb="FFE2EFDA"/>
        </patternFill>
      </fill>
    </dxf>
    <dxf>
      <font>
        <b/>
        <color rgb="FF548235"/>
      </font>
      <fill>
        <patternFill patternType="solid">
          <fgColor rgb="FFE2EFDA"/>
        </patternFill>
      </fill>
    </dxf>
    <dxf>
      <fill>
        <patternFill patternType="solid">
          <fgColor rgb="FFF8CBAD"/>
        </patternFill>
      </fill>
    </dxf>
    <dxf>
      <fill>
        <patternFill patternType="solid">
          <fgColor rgb="FFF8CBAD"/>
        </patternFill>
      </fill>
    </dxf>
    <dxf>
      <font>
        <b/>
        <color rgb="FFC00000"/>
      </font>
      <fill>
        <patternFill patternType="solid">
          <fgColor rgb="FFF8CBAD"/>
        </patternFill>
      </fill>
    </dxf>
    <dxf>
      <font>
        <b/>
        <color rgb="FFC00000"/>
      </font>
      <fill>
        <patternFill patternType="solid">
          <fgColor rgb="FFF8CBAD"/>
        </patternFill>
      </fill>
    </dxf>
    <dxf>
      <font>
        <b/>
        <color rgb="FFC00000"/>
      </font>
      <fill>
        <patternFill patternType="solid">
          <fgColor rgb="FFF8CBAD"/>
        </patternFill>
      </fill>
    </dxf>
    <dxf>
      <font>
        <b/>
        <color rgb="FFC00000"/>
      </font>
      <fill>
        <patternFill patternType="solid">
          <fgColor rgb="FFF8CBAD"/>
        </patternFill>
      </fill>
    </dxf>
    <dxf>
      <fill>
        <patternFill patternType="solid">
          <fgColor rgb="FFF8CBAD"/>
        </patternFill>
      </fill>
    </dxf>
    <dxf>
      <fill>
        <patternFill patternType="solid">
          <fgColor rgb="FFF8CBAD"/>
        </patternFill>
      </fill>
    </dxf>
    <dxf>
      <font>
        <b/>
        <sz val="18"/>
        <color rgb="FFC00000"/>
      </font>
    </dxf>
    <dxf>
      <font>
        <color rgb="FFC00000"/>
      </font>
      <fill>
        <patternFill patternType="solid">
          <fgColor rgb="FFF8CBAD"/>
        </patternFill>
      </fill>
    </dxf>
    <dxf>
      <font>
        <b/>
        <color rgb="FFC00000"/>
      </font>
      <fill>
        <patternFill patternType="solid">
          <fgColor rgb="FFF8CBAD"/>
        </patternFill>
      </fill>
    </dxf>
    <dxf>
      <font>
        <b/>
        <sz val="18"/>
        <color rgb="FFC00000"/>
      </font>
    </dxf>
    <dxf>
      <font>
        <b/>
        <sz val="18"/>
        <color rgb="FFC00000"/>
      </font>
    </dxf>
    <dxf>
      <font>
        <b/>
        <sz val="11"/>
        <color rgb="FF548235"/>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stacked"/>
        <c:varyColors val="1"/>
        <c:ser>
          <c:idx val="0"/>
          <c:order val="0"/>
          <c:tx>
            <c:v>Остаток денег</c:v>
          </c:tx>
          <c:spPr>
            <a:solidFill>
              <a:srgbClr val="2F5597"/>
            </a:solidFill>
            <a:ln>
              <a:solidFill>
                <a:srgbClr val="2F5597"/>
              </a:solidFill>
              <a:prstDash val="solid"/>
            </a:ln>
          </c:spPr>
          <c:invertIfNegative val="0"/>
          <c:cat>
            <c:numRef>
              <c:f>'Денежный поток'!$F$5:$W$5</c:f>
              <c:numCache>
                <c:formatCode>mmm\ yy</c:formatCode>
                <c:ptCount val="18"/>
                <c:pt idx="0">
                  <c:v>46327</c:v>
                </c:pt>
                <c:pt idx="1">
                  <c:v>46357</c:v>
                </c:pt>
                <c:pt idx="2">
                  <c:v>46388</c:v>
                </c:pt>
                <c:pt idx="3">
                  <c:v>46419</c:v>
                </c:pt>
                <c:pt idx="4">
                  <c:v>46447</c:v>
                </c:pt>
                <c:pt idx="5">
                  <c:v>46478</c:v>
                </c:pt>
                <c:pt idx="6">
                  <c:v>46508</c:v>
                </c:pt>
                <c:pt idx="7">
                  <c:v>46539</c:v>
                </c:pt>
                <c:pt idx="8">
                  <c:v>46569</c:v>
                </c:pt>
                <c:pt idx="9">
                  <c:v>46600</c:v>
                </c:pt>
                <c:pt idx="10">
                  <c:v>46631</c:v>
                </c:pt>
                <c:pt idx="11">
                  <c:v>46661</c:v>
                </c:pt>
                <c:pt idx="12">
                  <c:v>46692</c:v>
                </c:pt>
                <c:pt idx="13">
                  <c:v>46722</c:v>
                </c:pt>
                <c:pt idx="14">
                  <c:v>46753</c:v>
                </c:pt>
                <c:pt idx="15">
                  <c:v>46784</c:v>
                </c:pt>
                <c:pt idx="16">
                  <c:v>46813</c:v>
                </c:pt>
                <c:pt idx="17">
                  <c:v>46844</c:v>
                </c:pt>
              </c:numCache>
            </c:numRef>
          </c:cat>
          <c:val>
            <c:numRef>
              <c:f>'Денежный поток'!$F$71:$W$71</c:f>
              <c:numCache>
                <c:formatCode>#\ ##0;[Red]\-#\ ##0;"–"</c:formatCode>
                <c:ptCount val="18"/>
                <c:pt idx="0">
                  <c:v>1188093.2</c:v>
                </c:pt>
                <c:pt idx="1">
                  <c:v>742913.1</c:v>
                </c:pt>
                <c:pt idx="2">
                  <c:v>56803.691164657823</c:v>
                </c:pt>
                <c:pt idx="3">
                  <c:v>0</c:v>
                </c:pt>
                <c:pt idx="4">
                  <c:v>0</c:v>
                </c:pt>
                <c:pt idx="5">
                  <c:v>0</c:v>
                </c:pt>
                <c:pt idx="6">
                  <c:v>0</c:v>
                </c:pt>
                <c:pt idx="7">
                  <c:v>231013.03657078673</c:v>
                </c:pt>
                <c:pt idx="8">
                  <c:v>227133.93258435978</c:v>
                </c:pt>
                <c:pt idx="9">
                  <c:v>499597.44156862493</c:v>
                </c:pt>
                <c:pt idx="10">
                  <c:v>733366.32797041722</c:v>
                </c:pt>
                <c:pt idx="11">
                  <c:v>743900.36893259338</c:v>
                </c:pt>
                <c:pt idx="12">
                  <c:v>1149602.9377005163</c:v>
                </c:pt>
                <c:pt idx="13">
                  <c:v>1618007.802618515</c:v>
                </c:pt>
                <c:pt idx="14">
                  <c:v>1926734.3367784824</c:v>
                </c:pt>
                <c:pt idx="15">
                  <c:v>2074912.5749679017</c:v>
                </c:pt>
                <c:pt idx="16">
                  <c:v>2549951.0213696938</c:v>
                </c:pt>
                <c:pt idx="17">
                  <c:v>2532185.9785663318</c:v>
                </c:pt>
              </c:numCache>
            </c:numRef>
          </c:val>
          <c:extLst>
            <c:ext xmlns:c16="http://schemas.microsoft.com/office/drawing/2014/chart" uri="{C3380CC4-5D6E-409C-BE32-E72D297353CC}">
              <c16:uniqueId val="{00000000-B7F1-431C-80BD-D0750048B9AA}"/>
            </c:ext>
          </c:extLst>
        </c:ser>
        <c:ser>
          <c:idx val="1"/>
          <c:order val="1"/>
          <c:tx>
            <c:v>Кассовый разрыв</c:v>
          </c:tx>
          <c:spPr>
            <a:solidFill>
              <a:srgbClr val="C00000"/>
            </a:solidFill>
            <a:ln>
              <a:solidFill>
                <a:srgbClr val="C00000"/>
              </a:solidFill>
              <a:prstDash val="solid"/>
            </a:ln>
          </c:spPr>
          <c:invertIfNegative val="0"/>
          <c:cat>
            <c:numRef>
              <c:f>'Денежный поток'!$F$5:$W$5</c:f>
              <c:numCache>
                <c:formatCode>mmm\ yy</c:formatCode>
                <c:ptCount val="18"/>
                <c:pt idx="0">
                  <c:v>46327</c:v>
                </c:pt>
                <c:pt idx="1">
                  <c:v>46357</c:v>
                </c:pt>
                <c:pt idx="2">
                  <c:v>46388</c:v>
                </c:pt>
                <c:pt idx="3">
                  <c:v>46419</c:v>
                </c:pt>
                <c:pt idx="4">
                  <c:v>46447</c:v>
                </c:pt>
                <c:pt idx="5">
                  <c:v>46478</c:v>
                </c:pt>
                <c:pt idx="6">
                  <c:v>46508</c:v>
                </c:pt>
                <c:pt idx="7">
                  <c:v>46539</c:v>
                </c:pt>
                <c:pt idx="8">
                  <c:v>46569</c:v>
                </c:pt>
                <c:pt idx="9">
                  <c:v>46600</c:v>
                </c:pt>
                <c:pt idx="10">
                  <c:v>46631</c:v>
                </c:pt>
                <c:pt idx="11">
                  <c:v>46661</c:v>
                </c:pt>
                <c:pt idx="12">
                  <c:v>46692</c:v>
                </c:pt>
                <c:pt idx="13">
                  <c:v>46722</c:v>
                </c:pt>
                <c:pt idx="14">
                  <c:v>46753</c:v>
                </c:pt>
                <c:pt idx="15">
                  <c:v>46784</c:v>
                </c:pt>
                <c:pt idx="16">
                  <c:v>46813</c:v>
                </c:pt>
                <c:pt idx="17">
                  <c:v>46844</c:v>
                </c:pt>
              </c:numCache>
            </c:numRef>
          </c:cat>
          <c:val>
            <c:numRef>
              <c:f>'Денежный поток'!$F$72:$W$72</c:f>
              <c:numCache>
                <c:formatCode>#\ ##0;[Red]\-#\ ##0;"–"</c:formatCode>
                <c:ptCount val="18"/>
                <c:pt idx="0">
                  <c:v>0</c:v>
                </c:pt>
                <c:pt idx="1">
                  <c:v>0</c:v>
                </c:pt>
                <c:pt idx="2">
                  <c:v>0</c:v>
                </c:pt>
                <c:pt idx="3">
                  <c:v>-315376.47212517017</c:v>
                </c:pt>
                <c:pt idx="4">
                  <c:v>-218123.59145917604</c:v>
                </c:pt>
                <c:pt idx="5">
                  <c:v>-397876.69060289767</c:v>
                </c:pt>
                <c:pt idx="6">
                  <c:v>-84529.663208324229</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B7F1-431C-80BD-D0750048B9AA}"/>
            </c:ext>
          </c:extLst>
        </c:ser>
        <c:dLbls>
          <c:showLegendKey val="0"/>
          <c:showVal val="0"/>
          <c:showCatName val="0"/>
          <c:showSerName val="0"/>
          <c:showPercent val="0"/>
          <c:showBubbleSize val="0"/>
        </c:dLbls>
        <c:gapWidth val="40"/>
        <c:overlap val="100"/>
        <c:axId val="10"/>
        <c:axId val="100"/>
      </c:barChart>
      <c:dateAx>
        <c:axId val="10"/>
        <c:scaling>
          <c:orientation val="minMax"/>
        </c:scaling>
        <c:delete val="0"/>
        <c:axPos val="b"/>
        <c:numFmt formatCode="mmm\ yy" sourceLinked="0"/>
        <c:majorTickMark val="none"/>
        <c:minorTickMark val="none"/>
        <c:tickLblPos val="low"/>
        <c:crossAx val="100"/>
        <c:crosses val="autoZero"/>
        <c:auto val="1"/>
        <c:lblOffset val="100"/>
        <c:baseTimeUnit val="months"/>
      </c:date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col"/>
        <c:grouping val="clustered"/>
        <c:varyColors val="1"/>
        <c:ser>
          <c:idx val="0"/>
          <c:order val="0"/>
          <c:tx>
            <c:v>Выручка</c:v>
          </c:tx>
          <c:spPr>
            <a:solidFill>
              <a:srgbClr val="8EA9DB"/>
            </a:solidFill>
            <a:ln>
              <a:solidFill>
                <a:srgbClr val="8EA9DB"/>
              </a:solidFill>
              <a:prstDash val="solid"/>
            </a:ln>
          </c:spPr>
          <c:invertIfNegative val="0"/>
          <c:cat>
            <c:numRef>
              <c:f>ОПиУ!$F$5:$W$5</c:f>
              <c:numCache>
                <c:formatCode>mmm\ yy</c:formatCode>
                <c:ptCount val="18"/>
                <c:pt idx="0">
                  <c:v>46327</c:v>
                </c:pt>
                <c:pt idx="1">
                  <c:v>46357</c:v>
                </c:pt>
                <c:pt idx="2">
                  <c:v>46388</c:v>
                </c:pt>
                <c:pt idx="3">
                  <c:v>46419</c:v>
                </c:pt>
                <c:pt idx="4">
                  <c:v>46447</c:v>
                </c:pt>
                <c:pt idx="5">
                  <c:v>46478</c:v>
                </c:pt>
                <c:pt idx="6">
                  <c:v>46508</c:v>
                </c:pt>
                <c:pt idx="7">
                  <c:v>46539</c:v>
                </c:pt>
                <c:pt idx="8">
                  <c:v>46569</c:v>
                </c:pt>
                <c:pt idx="9">
                  <c:v>46600</c:v>
                </c:pt>
                <c:pt idx="10">
                  <c:v>46631</c:v>
                </c:pt>
                <c:pt idx="11">
                  <c:v>46661</c:v>
                </c:pt>
                <c:pt idx="12">
                  <c:v>46692</c:v>
                </c:pt>
                <c:pt idx="13">
                  <c:v>46722</c:v>
                </c:pt>
                <c:pt idx="14">
                  <c:v>46753</c:v>
                </c:pt>
                <c:pt idx="15">
                  <c:v>46784</c:v>
                </c:pt>
                <c:pt idx="16">
                  <c:v>46813</c:v>
                </c:pt>
                <c:pt idx="17">
                  <c:v>46844</c:v>
                </c:pt>
              </c:numCache>
            </c:numRef>
          </c:cat>
          <c:val>
            <c:numRef>
              <c:f>ОПиУ!$F$8:$W$8</c:f>
              <c:numCache>
                <c:formatCode>#\ ##0;[Red]\-#\ ##0;"–"</c:formatCode>
                <c:ptCount val="18"/>
                <c:pt idx="0">
                  <c:v>0</c:v>
                </c:pt>
                <c:pt idx="1">
                  <c:v>0</c:v>
                </c:pt>
                <c:pt idx="2">
                  <c:v>487890</c:v>
                </c:pt>
                <c:pt idx="3">
                  <c:v>813150</c:v>
                </c:pt>
                <c:pt idx="4">
                  <c:v>1138410</c:v>
                </c:pt>
                <c:pt idx="5">
                  <c:v>1384100</c:v>
                </c:pt>
                <c:pt idx="6">
                  <c:v>1626300</c:v>
                </c:pt>
                <c:pt idx="7">
                  <c:v>1626300</c:v>
                </c:pt>
                <c:pt idx="8">
                  <c:v>1546730</c:v>
                </c:pt>
                <c:pt idx="9">
                  <c:v>1626300</c:v>
                </c:pt>
                <c:pt idx="10">
                  <c:v>1709360</c:v>
                </c:pt>
                <c:pt idx="11">
                  <c:v>1788930</c:v>
                </c:pt>
                <c:pt idx="12">
                  <c:v>2034620</c:v>
                </c:pt>
                <c:pt idx="13">
                  <c:v>2114190</c:v>
                </c:pt>
                <c:pt idx="14">
                  <c:v>1463670</c:v>
                </c:pt>
                <c:pt idx="15">
                  <c:v>1626300</c:v>
                </c:pt>
                <c:pt idx="16">
                  <c:v>1709360</c:v>
                </c:pt>
                <c:pt idx="17">
                  <c:v>1709360</c:v>
                </c:pt>
              </c:numCache>
            </c:numRef>
          </c:val>
          <c:extLst>
            <c:ext xmlns:c16="http://schemas.microsoft.com/office/drawing/2014/chart" uri="{C3380CC4-5D6E-409C-BE32-E72D297353CC}">
              <c16:uniqueId val="{00000000-2CCD-4D91-B78F-0FE3B9474888}"/>
            </c:ext>
          </c:extLst>
        </c:ser>
        <c:ser>
          <c:idx val="1"/>
          <c:order val="1"/>
          <c:tx>
            <c:v>Чистая прибыль</c:v>
          </c:tx>
          <c:spPr>
            <a:solidFill>
              <a:srgbClr val="548235"/>
            </a:solidFill>
            <a:ln>
              <a:solidFill>
                <a:srgbClr val="548235"/>
              </a:solidFill>
              <a:prstDash val="solid"/>
            </a:ln>
          </c:spPr>
          <c:invertIfNegative val="0"/>
          <c:cat>
            <c:numRef>
              <c:f>ОПиУ!$F$5:$W$5</c:f>
              <c:numCache>
                <c:formatCode>mmm\ yy</c:formatCode>
                <c:ptCount val="18"/>
                <c:pt idx="0">
                  <c:v>46327</c:v>
                </c:pt>
                <c:pt idx="1">
                  <c:v>46357</c:v>
                </c:pt>
                <c:pt idx="2">
                  <c:v>46388</c:v>
                </c:pt>
                <c:pt idx="3">
                  <c:v>46419</c:v>
                </c:pt>
                <c:pt idx="4">
                  <c:v>46447</c:v>
                </c:pt>
                <c:pt idx="5">
                  <c:v>46478</c:v>
                </c:pt>
                <c:pt idx="6">
                  <c:v>46508</c:v>
                </c:pt>
                <c:pt idx="7">
                  <c:v>46539</c:v>
                </c:pt>
                <c:pt idx="8">
                  <c:v>46569</c:v>
                </c:pt>
                <c:pt idx="9">
                  <c:v>46600</c:v>
                </c:pt>
                <c:pt idx="10">
                  <c:v>46631</c:v>
                </c:pt>
                <c:pt idx="11">
                  <c:v>46661</c:v>
                </c:pt>
                <c:pt idx="12">
                  <c:v>46692</c:v>
                </c:pt>
                <c:pt idx="13">
                  <c:v>46722</c:v>
                </c:pt>
                <c:pt idx="14">
                  <c:v>46753</c:v>
                </c:pt>
                <c:pt idx="15">
                  <c:v>46784</c:v>
                </c:pt>
                <c:pt idx="16">
                  <c:v>46813</c:v>
                </c:pt>
                <c:pt idx="17">
                  <c:v>46844</c:v>
                </c:pt>
              </c:numCache>
            </c:numRef>
          </c:cat>
          <c:val>
            <c:numRef>
              <c:f>ОПиУ!$F$46:$W$46</c:f>
              <c:numCache>
                <c:formatCode>#\ ##0;[Red]\-#\ ##0;"–"</c:formatCode>
                <c:ptCount val="18"/>
                <c:pt idx="0">
                  <c:v>-285000</c:v>
                </c:pt>
                <c:pt idx="1">
                  <c:v>-50000</c:v>
                </c:pt>
                <c:pt idx="2">
                  <c:v>33715.226333733357</c:v>
                </c:pt>
                <c:pt idx="3">
                  <c:v>89525.377222888928</c:v>
                </c:pt>
                <c:pt idx="4">
                  <c:v>145335.52811204453</c:v>
                </c:pt>
                <c:pt idx="5">
                  <c:v>187495.49810748262</c:v>
                </c:pt>
                <c:pt idx="6">
                  <c:v>229050.75444577786</c:v>
                </c:pt>
                <c:pt idx="7">
                  <c:v>229050.75444577786</c:v>
                </c:pt>
                <c:pt idx="8">
                  <c:v>215400.57355206041</c:v>
                </c:pt>
                <c:pt idx="9">
                  <c:v>229050.75444577791</c:v>
                </c:pt>
                <c:pt idx="10">
                  <c:v>243305.64899663819</c:v>
                </c:pt>
                <c:pt idx="11">
                  <c:v>256955.82989035558</c:v>
                </c:pt>
                <c:pt idx="12">
                  <c:v>299115.79988579382</c:v>
                </c:pt>
                <c:pt idx="13">
                  <c:v>312765.98077951098</c:v>
                </c:pt>
                <c:pt idx="14">
                  <c:v>201145.67900120007</c:v>
                </c:pt>
                <c:pt idx="15">
                  <c:v>229050.75444577786</c:v>
                </c:pt>
                <c:pt idx="16">
                  <c:v>243305.64899663828</c:v>
                </c:pt>
                <c:pt idx="17">
                  <c:v>243305.64899663831</c:v>
                </c:pt>
              </c:numCache>
            </c:numRef>
          </c:val>
          <c:extLst>
            <c:ext xmlns:c16="http://schemas.microsoft.com/office/drawing/2014/chart" uri="{C3380CC4-5D6E-409C-BE32-E72D297353CC}">
              <c16:uniqueId val="{00000001-2CCD-4D91-B78F-0FE3B9474888}"/>
            </c:ext>
          </c:extLst>
        </c:ser>
        <c:dLbls>
          <c:showLegendKey val="0"/>
          <c:showVal val="0"/>
          <c:showCatName val="0"/>
          <c:showSerName val="0"/>
          <c:showPercent val="0"/>
          <c:showBubbleSize val="0"/>
        </c:dLbls>
        <c:gapWidth val="60"/>
        <c:axId val="10"/>
        <c:axId val="100"/>
      </c:barChart>
      <c:dateAx>
        <c:axId val="10"/>
        <c:scaling>
          <c:orientation val="minMax"/>
        </c:scaling>
        <c:delete val="0"/>
        <c:axPos val="b"/>
        <c:numFmt formatCode="mmm\ yy" sourceLinked="0"/>
        <c:majorTickMark val="none"/>
        <c:minorTickMark val="none"/>
        <c:tickLblPos val="low"/>
        <c:crossAx val="100"/>
        <c:crosses val="autoZero"/>
        <c:auto val="1"/>
        <c:lblOffset val="100"/>
        <c:baseTimeUnit val="months"/>
      </c:date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bar"/>
        <c:grouping val="stacked"/>
        <c:varyColors val="1"/>
        <c:ser>
          <c:idx val="0"/>
          <c:order val="0"/>
          <c:tx>
            <c:v>Себестоимость</c:v>
          </c:tx>
          <c:spPr>
            <a:solidFill>
              <a:srgbClr val="8497B0"/>
            </a:solidFill>
            <a:ln>
              <a:solidFill>
                <a:srgbClr val="8497B0"/>
              </a:solidFill>
              <a:prstDash val="solid"/>
            </a:ln>
          </c:spPr>
          <c:invertIfNegative val="0"/>
          <c:cat>
            <c:strRef>
              <c:f>'Юнит-экономика'!$C$4:$G$4</c:f>
              <c:strCache>
                <c:ptCount val="5"/>
                <c:pt idx="0">
                  <c:v>Органайзер в багажник</c:v>
                </c:pt>
                <c:pt idx="1">
                  <c:v>Автопылесос беспроводной</c:v>
                </c:pt>
                <c:pt idx="2">
                  <c:v>Держатель телефона MagSafe</c:v>
                </c:pt>
                <c:pt idx="3">
                  <c:v>Чехлы на сиденья, комплект</c:v>
                </c:pt>
                <c:pt idx="4">
                  <c:v>Видеорегистратор Wi-Fi</c:v>
                </c:pt>
              </c:strCache>
            </c:strRef>
          </c:cat>
          <c:val>
            <c:numRef>
              <c:f>'Юнит-экономика'!$C$20:$G$20</c:f>
              <c:numCache>
                <c:formatCode>#\ ##0.0;[Red]\-#\ ##0.0;"–"</c:formatCode>
                <c:ptCount val="5"/>
                <c:pt idx="0">
                  <c:v>1026.7768000000001</c:v>
                </c:pt>
                <c:pt idx="1">
                  <c:v>1313.3625333333332</c:v>
                </c:pt>
                <c:pt idx="2">
                  <c:v>473.76546666666667</c:v>
                </c:pt>
                <c:pt idx="3">
                  <c:v>2705.8110000000001</c:v>
                </c:pt>
                <c:pt idx="4">
                  <c:v>1710.5291999999999</c:v>
                </c:pt>
              </c:numCache>
            </c:numRef>
          </c:val>
          <c:extLst>
            <c:ext xmlns:c16="http://schemas.microsoft.com/office/drawing/2014/chart" uri="{C3380CC4-5D6E-409C-BE32-E72D297353CC}">
              <c16:uniqueId val="{00000000-DE6D-44C4-9DD0-910AEF600A28}"/>
            </c:ext>
          </c:extLst>
        </c:ser>
        <c:ser>
          <c:idx val="1"/>
          <c:order val="1"/>
          <c:tx>
            <c:v>Комиссия</c:v>
          </c:tx>
          <c:spPr>
            <a:solidFill>
              <a:srgbClr val="F4B183"/>
            </a:solidFill>
            <a:ln>
              <a:solidFill>
                <a:srgbClr val="F4B183"/>
              </a:solidFill>
              <a:prstDash val="solid"/>
            </a:ln>
          </c:spPr>
          <c:invertIfNegative val="0"/>
          <c:cat>
            <c:strRef>
              <c:f>'Юнит-экономика'!$C$4:$G$4</c:f>
              <c:strCache>
                <c:ptCount val="5"/>
                <c:pt idx="0">
                  <c:v>Органайзер в багажник</c:v>
                </c:pt>
                <c:pt idx="1">
                  <c:v>Автопылесос беспроводной</c:v>
                </c:pt>
                <c:pt idx="2">
                  <c:v>Держатель телефона MagSafe</c:v>
                </c:pt>
                <c:pt idx="3">
                  <c:v>Чехлы на сиденья, комплект</c:v>
                </c:pt>
                <c:pt idx="4">
                  <c:v>Видеорегистратор Wi-Fi</c:v>
                </c:pt>
              </c:strCache>
            </c:strRef>
          </c:cat>
          <c:val>
            <c:numRef>
              <c:f>'Юнит-экономика'!$C$24:$G$24</c:f>
              <c:numCache>
                <c:formatCode>#\ ##0.0;[Red]\-#\ ##0.0;"–"</c:formatCode>
                <c:ptCount val="5"/>
                <c:pt idx="0">
                  <c:v>498</c:v>
                </c:pt>
                <c:pt idx="1">
                  <c:v>538.19999999999993</c:v>
                </c:pt>
                <c:pt idx="2">
                  <c:v>258</c:v>
                </c:pt>
                <c:pt idx="3">
                  <c:v>898</c:v>
                </c:pt>
                <c:pt idx="4">
                  <c:v>593.30000000000007</c:v>
                </c:pt>
              </c:numCache>
            </c:numRef>
          </c:val>
          <c:extLst>
            <c:ext xmlns:c16="http://schemas.microsoft.com/office/drawing/2014/chart" uri="{C3380CC4-5D6E-409C-BE32-E72D297353CC}">
              <c16:uniqueId val="{00000001-DE6D-44C4-9DD0-910AEF600A28}"/>
            </c:ext>
          </c:extLst>
        </c:ser>
        <c:ser>
          <c:idx val="2"/>
          <c:order val="2"/>
          <c:tx>
            <c:v>Логистика</c:v>
          </c:tx>
          <c:spPr>
            <a:solidFill>
              <a:srgbClr val="FFD966"/>
            </a:solidFill>
            <a:ln>
              <a:solidFill>
                <a:srgbClr val="FFD966"/>
              </a:solidFill>
              <a:prstDash val="solid"/>
            </a:ln>
          </c:spPr>
          <c:invertIfNegative val="0"/>
          <c:cat>
            <c:strRef>
              <c:f>'Юнит-экономика'!$C$4:$G$4</c:f>
              <c:strCache>
                <c:ptCount val="5"/>
                <c:pt idx="0">
                  <c:v>Органайзер в багажник</c:v>
                </c:pt>
                <c:pt idx="1">
                  <c:v>Автопылесос беспроводной</c:v>
                </c:pt>
                <c:pt idx="2">
                  <c:v>Держатель телефона MagSafe</c:v>
                </c:pt>
                <c:pt idx="3">
                  <c:v>Чехлы на сиденья, комплект</c:v>
                </c:pt>
                <c:pt idx="4">
                  <c:v>Видеорегистратор Wi-Fi</c:v>
                </c:pt>
              </c:strCache>
            </c:strRef>
          </c:cat>
          <c:val>
            <c:numRef>
              <c:f>'Юнит-экономика'!$C$25:$G$25</c:f>
              <c:numCache>
                <c:formatCode>#\ ##0.0;[Red]\-#\ ##0.0;"–"</c:formatCode>
                <c:ptCount val="5"/>
                <c:pt idx="0">
                  <c:v>118.42105263157896</c:v>
                </c:pt>
                <c:pt idx="1">
                  <c:v>102.17391304347825</c:v>
                </c:pt>
                <c:pt idx="2">
                  <c:v>79.032258064516128</c:v>
                </c:pt>
                <c:pt idx="3">
                  <c:v>205.55555555555554</c:v>
                </c:pt>
                <c:pt idx="4">
                  <c:v>92.857142857142847</c:v>
                </c:pt>
              </c:numCache>
            </c:numRef>
          </c:val>
          <c:extLst>
            <c:ext xmlns:c16="http://schemas.microsoft.com/office/drawing/2014/chart" uri="{C3380CC4-5D6E-409C-BE32-E72D297353CC}">
              <c16:uniqueId val="{00000002-DE6D-44C4-9DD0-910AEF600A28}"/>
            </c:ext>
          </c:extLst>
        </c:ser>
        <c:ser>
          <c:idx val="3"/>
          <c:order val="3"/>
          <c:tx>
            <c:v>Реклама</c:v>
          </c:tx>
          <c:spPr>
            <a:solidFill>
              <a:srgbClr val="C9C9C9"/>
            </a:solidFill>
            <a:ln>
              <a:solidFill>
                <a:srgbClr val="C9C9C9"/>
              </a:solidFill>
              <a:prstDash val="solid"/>
            </a:ln>
          </c:spPr>
          <c:invertIfNegative val="0"/>
          <c:cat>
            <c:strRef>
              <c:f>'Юнит-экономика'!$C$4:$G$4</c:f>
              <c:strCache>
                <c:ptCount val="5"/>
                <c:pt idx="0">
                  <c:v>Органайзер в багажник</c:v>
                </c:pt>
                <c:pt idx="1">
                  <c:v>Автопылесос беспроводной</c:v>
                </c:pt>
                <c:pt idx="2">
                  <c:v>Держатель телефона MagSafe</c:v>
                </c:pt>
                <c:pt idx="3">
                  <c:v>Чехлы на сиденья, комплект</c:v>
                </c:pt>
                <c:pt idx="4">
                  <c:v>Видеорегистратор Wi-Fi</c:v>
                </c:pt>
              </c:strCache>
            </c:strRef>
          </c:cat>
          <c:val>
            <c:numRef>
              <c:f>'Юнит-экономика'!$C$26:$G$26</c:f>
              <c:numCache>
                <c:formatCode>#\ ##0.0;[Red]\-#\ ##0.0;"–"</c:formatCode>
                <c:ptCount val="5"/>
                <c:pt idx="0">
                  <c:v>199.20000000000002</c:v>
                </c:pt>
                <c:pt idx="1">
                  <c:v>239.20000000000002</c:v>
                </c:pt>
                <c:pt idx="2">
                  <c:v>103.2</c:v>
                </c:pt>
                <c:pt idx="3">
                  <c:v>359.2</c:v>
                </c:pt>
                <c:pt idx="4">
                  <c:v>279.2</c:v>
                </c:pt>
              </c:numCache>
            </c:numRef>
          </c:val>
          <c:extLst>
            <c:ext xmlns:c16="http://schemas.microsoft.com/office/drawing/2014/chart" uri="{C3380CC4-5D6E-409C-BE32-E72D297353CC}">
              <c16:uniqueId val="{00000003-DE6D-44C4-9DD0-910AEF600A28}"/>
            </c:ext>
          </c:extLst>
        </c:ser>
        <c:ser>
          <c:idx val="4"/>
          <c:order val="4"/>
          <c:tx>
            <c:v>Налог</c:v>
          </c:tx>
          <c:spPr>
            <a:solidFill>
              <a:srgbClr val="A9D18E"/>
            </a:solidFill>
            <a:ln>
              <a:solidFill>
                <a:srgbClr val="A9D18E"/>
              </a:solidFill>
              <a:prstDash val="solid"/>
            </a:ln>
          </c:spPr>
          <c:invertIfNegative val="0"/>
          <c:cat>
            <c:strRef>
              <c:f>'Юнит-экономика'!$C$4:$G$4</c:f>
              <c:strCache>
                <c:ptCount val="5"/>
                <c:pt idx="0">
                  <c:v>Органайзер в багажник</c:v>
                </c:pt>
                <c:pt idx="1">
                  <c:v>Автопылесос беспроводной</c:v>
                </c:pt>
                <c:pt idx="2">
                  <c:v>Держатель телефона MagSafe</c:v>
                </c:pt>
                <c:pt idx="3">
                  <c:v>Чехлы на сиденья, комплект</c:v>
                </c:pt>
                <c:pt idx="4">
                  <c:v>Видеорегистратор Wi-Fi</c:v>
                </c:pt>
              </c:strCache>
            </c:strRef>
          </c:cat>
          <c:val>
            <c:numRef>
              <c:f>'Юнит-экономика'!$C$28:$G$28</c:f>
              <c:numCache>
                <c:formatCode>#\ ##0.0;[Red]\-#\ ##0.0;"–"</c:formatCode>
                <c:ptCount val="5"/>
                <c:pt idx="0">
                  <c:v>149.4</c:v>
                </c:pt>
                <c:pt idx="1">
                  <c:v>179.4</c:v>
                </c:pt>
                <c:pt idx="2">
                  <c:v>77.399999999999991</c:v>
                </c:pt>
                <c:pt idx="3">
                  <c:v>269.39999999999998</c:v>
                </c:pt>
                <c:pt idx="4">
                  <c:v>209.4</c:v>
                </c:pt>
              </c:numCache>
            </c:numRef>
          </c:val>
          <c:extLst>
            <c:ext xmlns:c16="http://schemas.microsoft.com/office/drawing/2014/chart" uri="{C3380CC4-5D6E-409C-BE32-E72D297353CC}">
              <c16:uniqueId val="{00000004-DE6D-44C4-9DD0-910AEF600A28}"/>
            </c:ext>
          </c:extLst>
        </c:ser>
        <c:ser>
          <c:idx val="5"/>
          <c:order val="5"/>
          <c:tx>
            <c:v>Прибыль</c:v>
          </c:tx>
          <c:spPr>
            <a:solidFill>
              <a:srgbClr val="548235"/>
            </a:solidFill>
            <a:ln>
              <a:solidFill>
                <a:srgbClr val="548235"/>
              </a:solidFill>
              <a:prstDash val="solid"/>
            </a:ln>
          </c:spPr>
          <c:invertIfNegative val="0"/>
          <c:cat>
            <c:strRef>
              <c:f>'Юнит-экономика'!$C$4:$G$4</c:f>
              <c:strCache>
                <c:ptCount val="5"/>
                <c:pt idx="0">
                  <c:v>Органайзер в багажник</c:v>
                </c:pt>
                <c:pt idx="1">
                  <c:v>Автопылесос беспроводной</c:v>
                </c:pt>
                <c:pt idx="2">
                  <c:v>Держатель телефона MagSafe</c:v>
                </c:pt>
                <c:pt idx="3">
                  <c:v>Чехлы на сиденья, комплект</c:v>
                </c:pt>
                <c:pt idx="4">
                  <c:v>Видеорегистратор Wi-Fi</c:v>
                </c:pt>
              </c:strCache>
            </c:strRef>
          </c:cat>
          <c:val>
            <c:numRef>
              <c:f>'Юнит-экономика'!$C$31:$G$31</c:f>
              <c:numCache>
                <c:formatCode>#\ ##0.0;[Red]\-#\ ##0.0;"–"</c:formatCode>
                <c:ptCount val="5"/>
                <c:pt idx="0">
                  <c:v>498.20214736842081</c:v>
                </c:pt>
                <c:pt idx="1">
                  <c:v>617.66355362318836</c:v>
                </c:pt>
                <c:pt idx="2">
                  <c:v>298.60227526881715</c:v>
                </c:pt>
                <c:pt idx="3">
                  <c:v>52.033444444444285</c:v>
                </c:pt>
                <c:pt idx="4">
                  <c:v>604.7136571428573</c:v>
                </c:pt>
              </c:numCache>
            </c:numRef>
          </c:val>
          <c:extLst>
            <c:ext xmlns:c16="http://schemas.microsoft.com/office/drawing/2014/chart" uri="{C3380CC4-5D6E-409C-BE32-E72D297353CC}">
              <c16:uniqueId val="{00000005-DE6D-44C4-9DD0-910AEF600A28}"/>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0"/>
        <c:majorTickMark val="none"/>
        <c:minorTickMark val="none"/>
        <c:tickLblPos val="low"/>
        <c:crossAx val="100"/>
        <c:crosses val="autoZero"/>
        <c:auto val="1"/>
        <c:lblAlgn val="ctr"/>
        <c:lblOffset val="100"/>
        <c:noMultiLvlLbl val="1"/>
      </c:catAx>
      <c:valAx>
        <c:axId val="100"/>
        <c:scaling>
          <c:orientation val="minMax"/>
        </c:scaling>
        <c:delete val="0"/>
        <c:axPos val="b"/>
        <c:majorGridlines/>
        <c:numFmt formatCode="#,##0" sourceLinked="0"/>
        <c:majorTickMark val="none"/>
        <c:minorTickMark val="none"/>
        <c:tickLblPos val="nextTo"/>
        <c:crossAx val="10"/>
        <c:crosses val="max"/>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25</xdr:row>
      <xdr:rowOff>0</xdr:rowOff>
    </xdr:from>
    <xdr:ext cx="3671999" cy="2736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25</xdr:row>
      <xdr:rowOff>0</xdr:rowOff>
    </xdr:from>
    <xdr:ext cx="3671999" cy="2736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9</xdr:col>
      <xdr:colOff>0</xdr:colOff>
      <xdr:row>25</xdr:row>
      <xdr:rowOff>0</xdr:rowOff>
    </xdr:from>
    <xdr:ext cx="3671999" cy="2736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7F7F"/>
    <pageSetUpPr fitToPage="1"/>
  </sheetPr>
  <dimension ref="B1:C49"/>
  <sheetViews>
    <sheetView showGridLines="0" zoomScale="90" workbookViewId="0"/>
  </sheetViews>
  <sheetFormatPr defaultRowHeight="15" x14ac:dyDescent="0.25"/>
  <cols>
    <col min="1" max="1" width="3" customWidth="1"/>
    <col min="2" max="2" width="26" customWidth="1"/>
    <col min="3" max="3" width="100" customWidth="1"/>
  </cols>
  <sheetData>
    <row r="1" spans="2:3" ht="21" x14ac:dyDescent="0.35">
      <c r="B1" s="1" t="s">
        <v>0</v>
      </c>
    </row>
    <row r="2" spans="2:3" x14ac:dyDescent="0.25">
      <c r="B2" s="2" t="s">
        <v>5</v>
      </c>
    </row>
    <row r="4" spans="2:3" x14ac:dyDescent="0.25">
      <c r="B4" s="3" t="s">
        <v>36</v>
      </c>
      <c r="C4" s="4"/>
    </row>
    <row r="5" spans="2:3" ht="25.5" x14ac:dyDescent="0.25">
      <c r="C5" s="5" t="s">
        <v>37</v>
      </c>
    </row>
    <row r="6" spans="2:3" x14ac:dyDescent="0.25">
      <c r="C6" s="5" t="s">
        <v>38</v>
      </c>
    </row>
    <row r="7" spans="2:3" ht="25.5" x14ac:dyDescent="0.25">
      <c r="C7" s="5" t="s">
        <v>39</v>
      </c>
    </row>
    <row r="8" spans="2:3" x14ac:dyDescent="0.25">
      <c r="C8" s="5" t="s">
        <v>40</v>
      </c>
    </row>
    <row r="9" spans="2:3" ht="25.5" x14ac:dyDescent="0.25">
      <c r="C9" s="5" t="s">
        <v>41</v>
      </c>
    </row>
    <row r="11" spans="2:3" x14ac:dyDescent="0.25">
      <c r="B11" s="3" t="s">
        <v>42</v>
      </c>
      <c r="C11" s="4"/>
    </row>
    <row r="12" spans="2:3" ht="38.25" x14ac:dyDescent="0.25">
      <c r="B12" s="6" t="s">
        <v>43</v>
      </c>
      <c r="C12" s="5" t="s">
        <v>44</v>
      </c>
    </row>
    <row r="13" spans="2:3" ht="25.5" x14ac:dyDescent="0.25">
      <c r="B13" s="6" t="s">
        <v>45</v>
      </c>
      <c r="C13" s="5" t="s">
        <v>46</v>
      </c>
    </row>
    <row r="14" spans="2:3" x14ac:dyDescent="0.25">
      <c r="B14" s="6" t="s">
        <v>47</v>
      </c>
      <c r="C14" s="5" t="s">
        <v>48</v>
      </c>
    </row>
    <row r="15" spans="2:3" x14ac:dyDescent="0.25">
      <c r="B15" s="6" t="s">
        <v>49</v>
      </c>
      <c r="C15" s="5" t="s">
        <v>50</v>
      </c>
    </row>
    <row r="16" spans="2:3" ht="25.5" x14ac:dyDescent="0.25">
      <c r="B16" s="6" t="s">
        <v>51</v>
      </c>
      <c r="C16" s="5" t="s">
        <v>52</v>
      </c>
    </row>
    <row r="17" spans="2:3" x14ac:dyDescent="0.25">
      <c r="B17" s="6" t="s">
        <v>53</v>
      </c>
      <c r="C17" s="5" t="s">
        <v>54</v>
      </c>
    </row>
    <row r="19" spans="2:3" x14ac:dyDescent="0.25">
      <c r="B19" s="3" t="s">
        <v>55</v>
      </c>
      <c r="C19" s="4"/>
    </row>
    <row r="20" spans="2:3" x14ac:dyDescent="0.25">
      <c r="B20" s="7" t="s">
        <v>56</v>
      </c>
      <c r="C20" s="5" t="s">
        <v>57</v>
      </c>
    </row>
    <row r="21" spans="2:3" x14ac:dyDescent="0.25">
      <c r="B21" s="8" t="s">
        <v>58</v>
      </c>
      <c r="C21" s="5" t="s">
        <v>59</v>
      </c>
    </row>
    <row r="22" spans="2:3" x14ac:dyDescent="0.25">
      <c r="B22" s="9" t="s">
        <v>60</v>
      </c>
      <c r="C22" s="5" t="s">
        <v>61</v>
      </c>
    </row>
    <row r="23" spans="2:3" x14ac:dyDescent="0.25">
      <c r="B23" s="10" t="s">
        <v>62</v>
      </c>
      <c r="C23" s="5" t="s">
        <v>63</v>
      </c>
    </row>
    <row r="24" spans="2:3" x14ac:dyDescent="0.25">
      <c r="B24" s="11" t="s">
        <v>64</v>
      </c>
      <c r="C24" s="5" t="s">
        <v>65</v>
      </c>
    </row>
    <row r="25" spans="2:3" x14ac:dyDescent="0.25">
      <c r="B25" s="12" t="s">
        <v>66</v>
      </c>
      <c r="C25" s="5" t="s">
        <v>67</v>
      </c>
    </row>
    <row r="27" spans="2:3" x14ac:dyDescent="0.25">
      <c r="B27" s="3" t="s">
        <v>68</v>
      </c>
      <c r="C27" s="4"/>
    </row>
    <row r="28" spans="2:3" x14ac:dyDescent="0.25">
      <c r="B28" s="13" t="s">
        <v>69</v>
      </c>
      <c r="C28" s="14" t="s">
        <v>70</v>
      </c>
    </row>
    <row r="29" spans="2:3" x14ac:dyDescent="0.25">
      <c r="B29" s="13" t="s">
        <v>71</v>
      </c>
      <c r="C29" s="14" t="s">
        <v>72</v>
      </c>
    </row>
    <row r="30" spans="2:3" x14ac:dyDescent="0.25">
      <c r="B30" s="13" t="s">
        <v>73</v>
      </c>
      <c r="C30" s="14" t="s">
        <v>74</v>
      </c>
    </row>
    <row r="31" spans="2:3" x14ac:dyDescent="0.25">
      <c r="B31" s="13" t="s">
        <v>75</v>
      </c>
      <c r="C31" s="14" t="s">
        <v>76</v>
      </c>
    </row>
    <row r="32" spans="2:3" x14ac:dyDescent="0.25">
      <c r="B32" s="13" t="s">
        <v>77</v>
      </c>
      <c r="C32" s="14" t="s">
        <v>78</v>
      </c>
    </row>
    <row r="33" spans="2:3" x14ac:dyDescent="0.25">
      <c r="B33" s="13" t="s">
        <v>79</v>
      </c>
      <c r="C33" s="14" t="s">
        <v>80</v>
      </c>
    </row>
    <row r="34" spans="2:3" x14ac:dyDescent="0.25">
      <c r="B34" s="13" t="s">
        <v>81</v>
      </c>
      <c r="C34" s="14" t="s">
        <v>82</v>
      </c>
    </row>
    <row r="35" spans="2:3" x14ac:dyDescent="0.25">
      <c r="B35" s="13" t="s">
        <v>83</v>
      </c>
      <c r="C35" s="14" t="s">
        <v>84</v>
      </c>
    </row>
    <row r="37" spans="2:3" x14ac:dyDescent="0.25">
      <c r="B37" s="3" t="s">
        <v>85</v>
      </c>
      <c r="C37" s="4"/>
    </row>
    <row r="38" spans="2:3" x14ac:dyDescent="0.25">
      <c r="C38" s="5" t="s">
        <v>86</v>
      </c>
    </row>
    <row r="39" spans="2:3" ht="38.25" x14ac:dyDescent="0.25">
      <c r="C39" s="5" t="s">
        <v>87</v>
      </c>
    </row>
    <row r="40" spans="2:3" ht="25.5" x14ac:dyDescent="0.25">
      <c r="C40" s="5" t="s">
        <v>88</v>
      </c>
    </row>
    <row r="41" spans="2:3" ht="25.5" x14ac:dyDescent="0.25">
      <c r="C41" s="5" t="s">
        <v>89</v>
      </c>
    </row>
    <row r="42" spans="2:3" ht="25.5" x14ac:dyDescent="0.25">
      <c r="C42" s="5" t="s">
        <v>90</v>
      </c>
    </row>
    <row r="43" spans="2:3" ht="38.25" x14ac:dyDescent="0.25">
      <c r="C43" s="5" t="s">
        <v>91</v>
      </c>
    </row>
    <row r="44" spans="2:3" ht="25.5" x14ac:dyDescent="0.25">
      <c r="C44" s="5" t="s">
        <v>92</v>
      </c>
    </row>
    <row r="46" spans="2:3" x14ac:dyDescent="0.25">
      <c r="B46" s="3" t="s">
        <v>93</v>
      </c>
      <c r="C46" s="4"/>
    </row>
    <row r="47" spans="2:3" ht="25.5" x14ac:dyDescent="0.25">
      <c r="C47" s="5" t="s">
        <v>94</v>
      </c>
    </row>
    <row r="48" spans="2:3" ht="25.5" x14ac:dyDescent="0.25">
      <c r="C48" s="5" t="s">
        <v>95</v>
      </c>
    </row>
    <row r="49" spans="3:3" ht="25.5" x14ac:dyDescent="0.25">
      <c r="C49" s="5" t="s">
        <v>96</v>
      </c>
    </row>
  </sheetData>
  <sheetProtection sheet="1" formatColumns="0" formatRows="0"/>
  <hyperlinks>
    <hyperlink ref="B28" location="'Дашборд'!A1" display="Дашборд" xr:uid="{00000000-0004-0000-0000-000000000000}"/>
    <hyperlink ref="B29" location="'Допущения'!A1" display="Допущения" xr:uid="{00000000-0004-0000-0000-000001000000}"/>
    <hyperlink ref="B30" location="'Сценарии'!A1" display="Сценарии" xr:uid="{00000000-0004-0000-0000-000002000000}"/>
    <hyperlink ref="B31" location="'Юнит-экономика'!A1" display="Юнит-экономика" xr:uid="{00000000-0004-0000-0000-000003000000}"/>
    <hyperlink ref="B32" location="'Закупки и склад'!A1" display="Закупки и склад" xr:uid="{00000000-0004-0000-0000-000004000000}"/>
    <hyperlink ref="B33" location="'Денежный поток'!A1" display="Денежный поток" xr:uid="{00000000-0004-0000-0000-000005000000}"/>
    <hyperlink ref="B34" location="'ОПиУ'!A1" display="ОПиУ" xr:uid="{00000000-0004-0000-0000-000006000000}"/>
    <hyperlink ref="B35" location="'Чувствительность'!A1" display="Чувствительность" xr:uid="{00000000-0004-0000-0000-000007000000}"/>
  </hyperlink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pageSetUpPr fitToPage="1"/>
  </sheetPr>
  <dimension ref="B1:M25"/>
  <sheetViews>
    <sheetView showGridLines="0" tabSelected="1" zoomScale="90" workbookViewId="0"/>
  </sheetViews>
  <sheetFormatPr defaultRowHeight="15" x14ac:dyDescent="0.25"/>
  <cols>
    <col min="1" max="1" width="2" customWidth="1"/>
    <col min="2" max="2" width="15" customWidth="1"/>
    <col min="3" max="13" width="13.42578125" customWidth="1"/>
  </cols>
  <sheetData>
    <row r="1" spans="2:13" ht="21" x14ac:dyDescent="0.35">
      <c r="B1" s="1" t="s">
        <v>0</v>
      </c>
    </row>
    <row r="2" spans="2:13" x14ac:dyDescent="0.25">
      <c r="B2" s="15" t="s">
        <v>1</v>
      </c>
      <c r="C2" s="16" t="str">
        <f>Сценарий_выбор</f>
        <v>Базовый</v>
      </c>
      <c r="E2" s="15" t="s">
        <v>2</v>
      </c>
      <c r="F2" s="16" t="str">
        <f>Налог_режим</f>
        <v>УСН 6%</v>
      </c>
      <c r="H2" s="15" t="s">
        <v>3</v>
      </c>
      <c r="I2" s="17">
        <f>Дата_начала</f>
        <v>46327</v>
      </c>
      <c r="K2" s="15" t="s">
        <v>4</v>
      </c>
      <c r="L2" s="17">
        <f>'Денежный поток'!W$5</f>
        <v>46844</v>
      </c>
    </row>
    <row r="3" spans="2:13" x14ac:dyDescent="0.25">
      <c r="B3" s="2" t="s">
        <v>5</v>
      </c>
    </row>
    <row r="5" spans="2:13" x14ac:dyDescent="0.25">
      <c r="B5" s="107" t="s">
        <v>6</v>
      </c>
      <c r="C5" s="102"/>
      <c r="D5" s="102"/>
      <c r="E5" s="107" t="s">
        <v>7</v>
      </c>
      <c r="F5" s="102"/>
      <c r="G5" s="102"/>
      <c r="H5" s="107" t="s">
        <v>8</v>
      </c>
      <c r="I5" s="102"/>
      <c r="J5" s="102"/>
      <c r="K5" s="107" t="s">
        <v>9</v>
      </c>
      <c r="L5" s="102"/>
      <c r="M5" s="102"/>
    </row>
    <row r="6" spans="2:13" ht="30" customHeight="1" x14ac:dyDescent="0.25">
      <c r="B6" s="103">
        <f>ОПиУ!D8</f>
        <v>24404970</v>
      </c>
      <c r="C6" s="102"/>
      <c r="D6" s="102"/>
      <c r="E6" s="103">
        <f>ОПиУ!D46</f>
        <v>3052575.4576580962</v>
      </c>
      <c r="F6" s="102"/>
      <c r="G6" s="102"/>
      <c r="H6" s="114">
        <f>IFERROR(ЧП_итого/Выручка_итого,0)</f>
        <v>0.12508007416760178</v>
      </c>
      <c r="I6" s="102"/>
      <c r="J6" s="102"/>
      <c r="K6" s="112">
        <f>IFERROR(ЧП_итого/Пик_вложений,0)</f>
        <v>1.2730327083210389</v>
      </c>
      <c r="L6" s="102"/>
      <c r="M6" s="102"/>
    </row>
    <row r="7" spans="2:13" x14ac:dyDescent="0.25">
      <c r="B7" s="101" t="s">
        <v>10</v>
      </c>
      <c r="C7" s="102"/>
      <c r="D7" s="102"/>
      <c r="E7" s="101" t="s">
        <v>11</v>
      </c>
      <c r="F7" s="102"/>
      <c r="G7" s="102"/>
      <c r="H7" s="101" t="s">
        <v>12</v>
      </c>
      <c r="I7" s="102"/>
      <c r="J7" s="102"/>
      <c r="K7" s="101" t="s">
        <v>13</v>
      </c>
      <c r="L7" s="102"/>
      <c r="M7" s="102"/>
    </row>
    <row r="9" spans="2:13" x14ac:dyDescent="0.25">
      <c r="B9" s="107" t="s">
        <v>14</v>
      </c>
      <c r="C9" s="102"/>
      <c r="D9" s="102"/>
      <c r="E9" s="107" t="s">
        <v>15</v>
      </c>
      <c r="F9" s="102"/>
      <c r="G9" s="102"/>
      <c r="H9" s="107" t="s">
        <v>16</v>
      </c>
      <c r="I9" s="102"/>
      <c r="J9" s="102"/>
      <c r="K9" s="107" t="s">
        <v>17</v>
      </c>
      <c r="L9" s="102"/>
      <c r="M9" s="102"/>
    </row>
    <row r="10" spans="2:13" ht="30" customHeight="1" x14ac:dyDescent="0.25">
      <c r="B10" s="103">
        <f>MAX(0,-MIN('Денежный поток'!$F$68:$W$68))</f>
        <v>2397876.6906028972</v>
      </c>
      <c r="C10" s="102"/>
      <c r="D10" s="102"/>
      <c r="E10" s="103">
        <f>MAX('Денежный поток'!$F$66:$W$66)</f>
        <v>397876.69060289767</v>
      </c>
      <c r="F10" s="102"/>
      <c r="G10" s="102"/>
      <c r="H10" s="113">
        <f>IFERROR(MATCH(TRUE,'Денежный поток'!$F$70:$W$70,0),"более "&amp;MAX('Денежный поток'!$F$4:$W$4))</f>
        <v>16</v>
      </c>
      <c r="I10" s="102"/>
      <c r="J10" s="102"/>
      <c r="K10" s="103">
        <f>'Денежный поток'!D80</f>
        <v>5052575.4576580971</v>
      </c>
      <c r="L10" s="102"/>
      <c r="M10" s="102"/>
    </row>
    <row r="11" spans="2:13" x14ac:dyDescent="0.25">
      <c r="B11" s="101" t="s">
        <v>18</v>
      </c>
      <c r="C11" s="102"/>
      <c r="D11" s="102"/>
      <c r="E11" s="109">
        <f>IFERROR(INDEX('Денежный поток'!$F$5:$W$5,MATCH(TRUE,'Денежный поток'!$F$67:$W$67,0)),"нет")</f>
        <v>46419</v>
      </c>
      <c r="F11" s="102"/>
      <c r="G11" s="102"/>
      <c r="H11" s="101" t="s">
        <v>19</v>
      </c>
      <c r="I11" s="102"/>
      <c r="J11" s="102"/>
      <c r="K11" s="101" t="s">
        <v>20</v>
      </c>
      <c r="L11" s="102"/>
      <c r="M11" s="102"/>
    </row>
    <row r="13" spans="2:13" x14ac:dyDescent="0.25">
      <c r="B13" s="108" t="str">
        <f>IF(Макс_разрыв&gt;0,"⚠ Кассовый разрыв: в худший месяц не хватает "&amp;FIXED(Макс_разрыв,0)&amp;" ₽. Нужен доп. капитал, меньшие партии или отсрочка оплаты поставщику.","✓ Денег хватает на весь период: кассового разрыва нет.")</f>
        <v>⚠ Кассовый разрыв: в худший месяц не хватает 397 877 ₽. Нужен доп. капитал, меньшие партии или отсрочка оплаты поставщику.</v>
      </c>
      <c r="C13" s="102"/>
      <c r="D13" s="102"/>
      <c r="E13" s="102"/>
      <c r="F13" s="102"/>
      <c r="G13" s="102"/>
      <c r="H13" s="102"/>
      <c r="I13" s="102"/>
      <c r="J13" s="102"/>
      <c r="K13" s="102"/>
      <c r="L13" s="102"/>
      <c r="M13" s="102"/>
    </row>
    <row r="14" spans="2:13" x14ac:dyDescent="0.25">
      <c r="B14" s="104" t="str">
        <f>IF(COUNTIF('Юнит-экономика'!$C$31:$G$31,"&lt;0")&gt;0,"⚠ Есть товары с убытком на каждой продаже — см. таблицу ниже. ","")&amp;IF(Упущено_шт&gt;0,"⚠ Упущено продаж из-за нехватки товара: "&amp;FIXED(Упущено_шт,0)&amp;" шт. ","")&amp;IF(AND(Налог_номер&lt;3,Выручка_макс_год&gt;Порог_НДС_УСН),"⚠ Выручка за календарный год выше порога НДС для УСН — уточните НДС у бухгалтера. ","")&amp;IF(Налог_номер=3,"⚠ НПД не применяется при перепродаже товаров (422-ФЗ, ст. 4) — режим только для сравнения. ","")&amp;IF(AND(Налог_номер=3,Выручка_макс_год&gt;Лимит_НПД),"⚠ Доход выше лимита НПД. ","")</f>
        <v/>
      </c>
      <c r="C14" s="102"/>
      <c r="D14" s="102"/>
      <c r="E14" s="102"/>
      <c r="F14" s="102"/>
      <c r="G14" s="102"/>
      <c r="H14" s="102"/>
      <c r="I14" s="102"/>
      <c r="J14" s="102"/>
      <c r="K14" s="102"/>
      <c r="L14" s="102"/>
      <c r="M14" s="102"/>
    </row>
    <row r="15" spans="2:13" x14ac:dyDescent="0.25">
      <c r="B15" s="18" t="str">
        <f>"Контроль баланса модели: "&amp;Контроль_баланса&amp;"   •   остаток денег на конец: "&amp;FIXED(Деньги_конец,0)&amp;" ₽"</f>
        <v>Контроль баланса модели: OK   •   остаток денег на конец: 2 532 186 ₽</v>
      </c>
    </row>
    <row r="17" spans="2:13" ht="42" customHeight="1" x14ac:dyDescent="0.25">
      <c r="B17" s="111" t="s">
        <v>21</v>
      </c>
      <c r="C17" s="106"/>
      <c r="D17" s="19" t="s">
        <v>22</v>
      </c>
      <c r="E17" s="19" t="s">
        <v>23</v>
      </c>
      <c r="F17" s="19" t="s">
        <v>24</v>
      </c>
      <c r="G17" s="19" t="s">
        <v>25</v>
      </c>
      <c r="H17" s="19" t="s">
        <v>26</v>
      </c>
      <c r="I17" s="19" t="s">
        <v>27</v>
      </c>
      <c r="J17" s="19" t="s">
        <v>28</v>
      </c>
      <c r="K17" s="19" t="s">
        <v>29</v>
      </c>
      <c r="L17" s="19" t="s">
        <v>30</v>
      </c>
      <c r="M17" s="19" t="s">
        <v>31</v>
      </c>
    </row>
    <row r="18" spans="2:13" x14ac:dyDescent="0.25">
      <c r="B18" s="105" t="str">
        <f>'Юнит-экономика'!C$4</f>
        <v>Органайзер в багажник</v>
      </c>
      <c r="C18" s="106"/>
      <c r="D18" s="21">
        <f>'Юнит-экономика'!$C$6</f>
        <v>2490</v>
      </c>
      <c r="E18" s="21">
        <f>'Юнит-экономика'!$C$20</f>
        <v>1026.7768000000001</v>
      </c>
      <c r="F18" s="21">
        <f>'Юнит-экономика'!$C$31</f>
        <v>498.20214736842081</v>
      </c>
      <c r="G18" s="22">
        <f>'Юнит-экономика'!$C$32</f>
        <v>0.20008118368209671</v>
      </c>
      <c r="H18" s="22">
        <f>'Юнит-экономика'!$C$34</f>
        <v>0.48520978207573523</v>
      </c>
      <c r="I18" s="21">
        <f>'Юнит-экономика'!$C$39</f>
        <v>21.512512218062213</v>
      </c>
      <c r="J18" s="21">
        <f>'Юнит-экономика'!$C$36</f>
        <v>140</v>
      </c>
      <c r="K18" s="21">
        <f>'Закупки и склад'!D24</f>
        <v>2100</v>
      </c>
      <c r="L18" s="21">
        <f>ОПиУ!D9</f>
        <v>5229000</v>
      </c>
      <c r="M18" s="21">
        <f>'Закупки и склад'!D32</f>
        <v>0</v>
      </c>
    </row>
    <row r="19" spans="2:13" x14ac:dyDescent="0.25">
      <c r="B19" s="105" t="str">
        <f>'Юнит-экономика'!D$4</f>
        <v>Автопылесос беспроводной</v>
      </c>
      <c r="C19" s="106"/>
      <c r="D19" s="21">
        <f>'Юнит-экономика'!$D$6</f>
        <v>2990</v>
      </c>
      <c r="E19" s="21">
        <f>'Юнит-экономика'!$D$20</f>
        <v>1313.3625333333332</v>
      </c>
      <c r="F19" s="21">
        <f>'Юнит-экономика'!$D$31</f>
        <v>617.66355362318836</v>
      </c>
      <c r="G19" s="22">
        <f>'Юнит-экономика'!$D$32</f>
        <v>0.206576439338859</v>
      </c>
      <c r="H19" s="22">
        <f>'Юнит-экономика'!$D$34</f>
        <v>0.47029174195760653</v>
      </c>
      <c r="I19" s="21">
        <f>'Юнит-экономика'!$D$39</f>
        <v>17.859520762142481</v>
      </c>
      <c r="J19" s="21">
        <f>'Юнит-экономика'!$D$36</f>
        <v>120</v>
      </c>
      <c r="K19" s="21">
        <f>'Закупки и склад'!D25</f>
        <v>1800</v>
      </c>
      <c r="L19" s="21">
        <f>ОПиУ!D10</f>
        <v>5382000</v>
      </c>
      <c r="M19" s="21">
        <f>'Закупки и склад'!D33</f>
        <v>0</v>
      </c>
    </row>
    <row r="20" spans="2:13" x14ac:dyDescent="0.25">
      <c r="B20" s="105" t="str">
        <f>'Юнит-экономика'!E$4</f>
        <v>Держатель телефона MagSafe</v>
      </c>
      <c r="C20" s="106"/>
      <c r="D20" s="21">
        <f>'Юнит-экономика'!$E$6</f>
        <v>1290</v>
      </c>
      <c r="E20" s="21">
        <f>'Юнит-экономика'!$E$20</f>
        <v>473.76546666666667</v>
      </c>
      <c r="F20" s="21">
        <f>'Юнит-экономика'!$E$31</f>
        <v>298.60227526881715</v>
      </c>
      <c r="G20" s="22">
        <f>'Юнит-экономика'!$E$32</f>
        <v>0.23147463199133111</v>
      </c>
      <c r="H20" s="22">
        <f>'Юнит-экономика'!$E$34</f>
        <v>0.63027446337474113</v>
      </c>
      <c r="I20" s="21">
        <f>'Юнит-экономика'!$E$39</f>
        <v>34.533395936910438</v>
      </c>
      <c r="J20" s="21">
        <f>'Юнит-экономика'!$E$36</f>
        <v>260</v>
      </c>
      <c r="K20" s="21">
        <f>'Закупки и склад'!D26</f>
        <v>3900</v>
      </c>
      <c r="L20" s="21">
        <f>ОПиУ!D11</f>
        <v>5031000</v>
      </c>
      <c r="M20" s="21">
        <f>'Закупки и склад'!D34</f>
        <v>0</v>
      </c>
    </row>
    <row r="21" spans="2:13" x14ac:dyDescent="0.25">
      <c r="B21" s="105" t="str">
        <f>'Юнит-экономика'!F$4</f>
        <v>Чехлы на сиденья, комплект</v>
      </c>
      <c r="C21" s="106"/>
      <c r="D21" s="21">
        <f>'Юнит-экономика'!$F$6</f>
        <v>4490</v>
      </c>
      <c r="E21" s="21">
        <f>'Юнит-экономика'!$F$20</f>
        <v>2705.8110000000001</v>
      </c>
      <c r="F21" s="21">
        <f>'Юнит-экономика'!$F$31</f>
        <v>52.033444444444285</v>
      </c>
      <c r="G21" s="22">
        <f>'Юнит-экономика'!$F$32</f>
        <v>1.1588740410789373E-2</v>
      </c>
      <c r="H21" s="22">
        <f>'Юнит-экономика'!$F$34</f>
        <v>1.9230258301279831E-2</v>
      </c>
      <c r="I21" s="21">
        <f>'Юнит-экономика'!$F$39</f>
        <v>159.17848172295527</v>
      </c>
      <c r="J21" s="21">
        <f>'Юнит-экономика'!$F$36</f>
        <v>60</v>
      </c>
      <c r="K21" s="21">
        <f>'Закупки и склад'!D27</f>
        <v>900</v>
      </c>
      <c r="L21" s="21">
        <f>ОПиУ!D12</f>
        <v>4041000</v>
      </c>
      <c r="M21" s="21">
        <f>'Закупки и склад'!D35</f>
        <v>0</v>
      </c>
    </row>
    <row r="22" spans="2:13" x14ac:dyDescent="0.25">
      <c r="B22" s="105" t="str">
        <f>'Юнит-экономика'!G$4</f>
        <v>Видеорегистратор Wi-Fi</v>
      </c>
      <c r="C22" s="106"/>
      <c r="D22" s="21">
        <f>'Юнит-экономика'!$G$6</f>
        <v>3490</v>
      </c>
      <c r="E22" s="21">
        <f>'Юнит-экономика'!$G$20</f>
        <v>1710.5291999999999</v>
      </c>
      <c r="F22" s="21">
        <f>'Юнит-экономика'!$G$31</f>
        <v>604.7136571428573</v>
      </c>
      <c r="G22" s="22">
        <f>'Юнит-экономика'!$G$32</f>
        <v>0.17327038886614823</v>
      </c>
      <c r="H22" s="22">
        <f>'Юнит-экономика'!$G$34</f>
        <v>0.3535243111563704</v>
      </c>
      <c r="I22" s="21">
        <f>'Юнит-экономика'!$G$39</f>
        <v>15.969359644271886</v>
      </c>
      <c r="J22" s="21">
        <f>'Юнит-экономика'!$G$36</f>
        <v>90</v>
      </c>
      <c r="K22" s="21">
        <f>'Закупки и склад'!D28</f>
        <v>1353</v>
      </c>
      <c r="L22" s="21">
        <f>ОПиУ!D13</f>
        <v>4721970</v>
      </c>
      <c r="M22" s="21">
        <f>'Закупки и склад'!D36</f>
        <v>0</v>
      </c>
    </row>
    <row r="23" spans="2:13" x14ac:dyDescent="0.25">
      <c r="B23" s="110" t="s">
        <v>32</v>
      </c>
      <c r="C23" s="106"/>
      <c r="D23" s="23"/>
      <c r="E23" s="23"/>
      <c r="F23" s="23"/>
      <c r="G23" s="23"/>
      <c r="H23" s="23"/>
      <c r="I23" s="23"/>
      <c r="J23" s="23"/>
      <c r="K23" s="23">
        <f>SUM(K18:K22)</f>
        <v>10053</v>
      </c>
      <c r="L23" s="23">
        <f>SUM(L18:L22)</f>
        <v>24404970</v>
      </c>
      <c r="M23" s="23">
        <f>SUM(M18:M22)</f>
        <v>0</v>
      </c>
    </row>
    <row r="25" spans="2:13" x14ac:dyDescent="0.25">
      <c r="B25" s="24" t="s">
        <v>33</v>
      </c>
      <c r="F25" s="24" t="s">
        <v>34</v>
      </c>
      <c r="J25" s="24" t="s">
        <v>35</v>
      </c>
    </row>
  </sheetData>
  <sheetProtection sheet="1" formatColumns="0" formatRows="0"/>
  <mergeCells count="33">
    <mergeCell ref="K7:M7"/>
    <mergeCell ref="B5:D5"/>
    <mergeCell ref="K10:M10"/>
    <mergeCell ref="K6:M6"/>
    <mergeCell ref="B19:C19"/>
    <mergeCell ref="H5:J5"/>
    <mergeCell ref="B7:D7"/>
    <mergeCell ref="H10:J10"/>
    <mergeCell ref="K9:M9"/>
    <mergeCell ref="E5:G5"/>
    <mergeCell ref="K5:M5"/>
    <mergeCell ref="H9:J9"/>
    <mergeCell ref="K11:M11"/>
    <mergeCell ref="H6:J6"/>
    <mergeCell ref="B23:C23"/>
    <mergeCell ref="B9:D9"/>
    <mergeCell ref="B17:C17"/>
    <mergeCell ref="E7:G7"/>
    <mergeCell ref="B6:D6"/>
    <mergeCell ref="B20:C20"/>
    <mergeCell ref="H7:J7"/>
    <mergeCell ref="E6:G6"/>
    <mergeCell ref="B10:D10"/>
    <mergeCell ref="B21:C21"/>
    <mergeCell ref="E11:G11"/>
    <mergeCell ref="B11:D11"/>
    <mergeCell ref="E10:G10"/>
    <mergeCell ref="B14:M14"/>
    <mergeCell ref="B22:C22"/>
    <mergeCell ref="E9:G9"/>
    <mergeCell ref="B13:M13"/>
    <mergeCell ref="B18:C18"/>
    <mergeCell ref="H11:J11"/>
  </mergeCells>
  <conditionalFormatting sqref="B13">
    <cfRule type="expression" dxfId="20" priority="4">
      <formula>Макс_разрыв=0</formula>
    </cfRule>
  </conditionalFormatting>
  <conditionalFormatting sqref="E6">
    <cfRule type="cellIs" dxfId="19" priority="2" operator="lessThan">
      <formula>0</formula>
    </cfRule>
  </conditionalFormatting>
  <conditionalFormatting sqref="E10">
    <cfRule type="cellIs" dxfId="18" priority="1" operator="greaterThan">
      <formula>0</formula>
    </cfRule>
  </conditionalFormatting>
  <conditionalFormatting sqref="F18:H22">
    <cfRule type="cellIs" dxfId="17" priority="5" operator="lessThan">
      <formula>0</formula>
    </cfRule>
  </conditionalFormatting>
  <conditionalFormatting sqref="I18:I22">
    <cfRule type="expression" dxfId="16" priority="8">
      <formula>ISTEXT(I18)</formula>
    </cfRule>
  </conditionalFormatting>
  <conditionalFormatting sqref="K6">
    <cfRule type="cellIs" dxfId="15" priority="3" operator="lessThan">
      <formula>0</formula>
    </cfRule>
  </conditionalFormatting>
  <printOptions horizontalCentered="1"/>
  <pageMargins left="0.4" right="0.4" top="0.4" bottom="0.4" header="0.5" footer="0.5"/>
  <pageSetup paperSize="9" orientation="landscape"/>
  <headerFooter>
    <oddFooter>&amp;LФинансовая модель импорта из Китая • демо&amp;RСтр. &amp;P из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H78"/>
  <sheetViews>
    <sheetView showGridLines="0" zoomScale="90" workbookViewId="0">
      <pane xSplit="2" ySplit="4" topLeftCell="C5" activePane="bottomRight" state="frozen"/>
      <selection pane="topRight"/>
      <selection pane="bottomLeft"/>
      <selection pane="bottomRight"/>
    </sheetView>
  </sheetViews>
  <sheetFormatPr defaultRowHeight="15" x14ac:dyDescent="0.25"/>
  <cols>
    <col min="1" max="1" width="58" customWidth="1"/>
    <col min="2" max="2" width="12" customWidth="1"/>
    <col min="3" max="7" width="17" customWidth="1"/>
    <col min="8" max="8" width="70" customWidth="1"/>
  </cols>
  <sheetData>
    <row r="1" spans="1:8" ht="21" x14ac:dyDescent="0.35">
      <c r="A1" s="1" t="s">
        <v>97</v>
      </c>
    </row>
    <row r="2" spans="1:8" x14ac:dyDescent="0.25">
      <c r="A2" s="18" t="s">
        <v>98</v>
      </c>
    </row>
    <row r="3" spans="1:8" x14ac:dyDescent="0.25">
      <c r="A3" s="2" t="s">
        <v>5</v>
      </c>
    </row>
    <row r="5" spans="1:8" x14ac:dyDescent="0.25">
      <c r="A5" s="25" t="s">
        <v>99</v>
      </c>
      <c r="B5" s="26"/>
      <c r="C5" s="26"/>
      <c r="D5" s="26"/>
      <c r="E5" s="26"/>
      <c r="F5" s="26"/>
      <c r="G5" s="26"/>
      <c r="H5" s="26"/>
    </row>
    <row r="6" spans="1:8" x14ac:dyDescent="0.25">
      <c r="A6" s="19" t="s">
        <v>100</v>
      </c>
      <c r="B6" s="19" t="s">
        <v>101</v>
      </c>
      <c r="C6" s="19" t="s">
        <v>102</v>
      </c>
      <c r="D6" s="27" t="s">
        <v>103</v>
      </c>
    </row>
    <row r="7" spans="1:8" x14ac:dyDescent="0.25">
      <c r="A7" s="14" t="s">
        <v>104</v>
      </c>
      <c r="B7" s="28" t="s">
        <v>105</v>
      </c>
      <c r="C7" s="29">
        <v>46327</v>
      </c>
      <c r="D7" s="18" t="s">
        <v>106</v>
      </c>
    </row>
    <row r="8" spans="1:8" x14ac:dyDescent="0.25">
      <c r="A8" s="14" t="s">
        <v>107</v>
      </c>
      <c r="B8" s="28" t="s">
        <v>108</v>
      </c>
      <c r="C8" s="30">
        <v>2000000</v>
      </c>
      <c r="D8" s="18" t="s">
        <v>109</v>
      </c>
    </row>
    <row r="9" spans="1:8" x14ac:dyDescent="0.25">
      <c r="A9" s="14" t="s">
        <v>110</v>
      </c>
      <c r="B9" s="28" t="s">
        <v>111</v>
      </c>
      <c r="C9" s="31">
        <v>12</v>
      </c>
      <c r="D9" s="18" t="s">
        <v>112</v>
      </c>
    </row>
    <row r="10" spans="1:8" x14ac:dyDescent="0.25">
      <c r="A10" s="14" t="s">
        <v>113</v>
      </c>
      <c r="B10" s="28" t="s">
        <v>114</v>
      </c>
      <c r="C10" s="32">
        <v>0.03</v>
      </c>
      <c r="D10" s="18" t="s">
        <v>115</v>
      </c>
    </row>
    <row r="11" spans="1:8" x14ac:dyDescent="0.25">
      <c r="A11" s="14" t="s">
        <v>116</v>
      </c>
      <c r="B11" s="28" t="s">
        <v>117</v>
      </c>
      <c r="C11" s="32">
        <v>1.4999999999999999E-2</v>
      </c>
      <c r="D11" s="18" t="s">
        <v>118</v>
      </c>
    </row>
    <row r="12" spans="1:8" x14ac:dyDescent="0.25">
      <c r="A12" s="14" t="s">
        <v>119</v>
      </c>
      <c r="B12" s="28" t="s">
        <v>120</v>
      </c>
      <c r="C12" s="33" t="s">
        <v>121</v>
      </c>
      <c r="D12" s="18" t="s">
        <v>122</v>
      </c>
    </row>
    <row r="13" spans="1:8" x14ac:dyDescent="0.25">
      <c r="A13" s="14" t="s">
        <v>123</v>
      </c>
      <c r="B13" s="28" t="s">
        <v>124</v>
      </c>
      <c r="C13" s="30">
        <v>220</v>
      </c>
      <c r="D13" s="18" t="s">
        <v>125</v>
      </c>
    </row>
    <row r="14" spans="1:8" x14ac:dyDescent="0.25">
      <c r="A14" s="14" t="s">
        <v>126</v>
      </c>
      <c r="B14" s="28" t="s">
        <v>127</v>
      </c>
      <c r="C14" s="30">
        <v>24000</v>
      </c>
      <c r="D14" s="18" t="s">
        <v>125</v>
      </c>
    </row>
    <row r="15" spans="1:8" x14ac:dyDescent="0.25">
      <c r="A15" s="14" t="s">
        <v>128</v>
      </c>
      <c r="B15" s="28" t="s">
        <v>129</v>
      </c>
      <c r="C15" s="30">
        <v>8000</v>
      </c>
      <c r="D15" s="18" t="s">
        <v>130</v>
      </c>
    </row>
    <row r="16" spans="1:8" x14ac:dyDescent="0.25">
      <c r="A16" s="14" t="s">
        <v>131</v>
      </c>
      <c r="B16" s="28" t="s">
        <v>124</v>
      </c>
      <c r="C16" s="30">
        <v>25</v>
      </c>
      <c r="D16" s="18" t="s">
        <v>132</v>
      </c>
    </row>
    <row r="17" spans="1:8" x14ac:dyDescent="0.25">
      <c r="A17" s="14" t="s">
        <v>133</v>
      </c>
      <c r="B17" s="28" t="s">
        <v>134</v>
      </c>
      <c r="C17" s="30">
        <v>50</v>
      </c>
      <c r="D17" s="18" t="s">
        <v>135</v>
      </c>
    </row>
    <row r="18" spans="1:8" x14ac:dyDescent="0.25">
      <c r="A18" s="14" t="s">
        <v>136</v>
      </c>
      <c r="B18" s="28" t="s">
        <v>137</v>
      </c>
      <c r="C18" s="32">
        <v>0.08</v>
      </c>
      <c r="D18" s="18" t="s">
        <v>138</v>
      </c>
    </row>
    <row r="19" spans="1:8" x14ac:dyDescent="0.25">
      <c r="A19" s="14" t="s">
        <v>139</v>
      </c>
      <c r="B19" s="28" t="s">
        <v>140</v>
      </c>
      <c r="C19" s="30">
        <v>50000</v>
      </c>
      <c r="D19" s="18" t="s">
        <v>141</v>
      </c>
    </row>
    <row r="20" spans="1:8" x14ac:dyDescent="0.25">
      <c r="A20" s="14" t="s">
        <v>142</v>
      </c>
      <c r="B20" s="28" t="s">
        <v>108</v>
      </c>
      <c r="C20" s="30">
        <v>60000</v>
      </c>
      <c r="D20" s="18" t="s">
        <v>143</v>
      </c>
    </row>
    <row r="21" spans="1:8" x14ac:dyDescent="0.25">
      <c r="A21" s="14" t="s">
        <v>144</v>
      </c>
      <c r="B21" s="28" t="s">
        <v>145</v>
      </c>
      <c r="C21" s="34">
        <v>2</v>
      </c>
      <c r="D21" s="18" t="s">
        <v>146</v>
      </c>
    </row>
    <row r="22" spans="1:8" x14ac:dyDescent="0.25">
      <c r="A22" s="14" t="s">
        <v>147</v>
      </c>
      <c r="B22" s="28" t="s">
        <v>148</v>
      </c>
      <c r="C22" s="34">
        <v>1</v>
      </c>
      <c r="D22" s="18" t="s">
        <v>149</v>
      </c>
    </row>
    <row r="23" spans="1:8" x14ac:dyDescent="0.25">
      <c r="A23" s="14" t="s">
        <v>150</v>
      </c>
      <c r="B23" s="28" t="s">
        <v>151</v>
      </c>
      <c r="C23" s="34">
        <v>14</v>
      </c>
      <c r="D23" s="18" t="s">
        <v>152</v>
      </c>
    </row>
    <row r="24" spans="1:8" x14ac:dyDescent="0.25">
      <c r="A24" s="14" t="s">
        <v>153</v>
      </c>
      <c r="B24" s="28" t="s">
        <v>151</v>
      </c>
      <c r="C24" s="34">
        <v>30</v>
      </c>
      <c r="D24" s="18" t="s">
        <v>154</v>
      </c>
    </row>
    <row r="26" spans="1:8" x14ac:dyDescent="0.25">
      <c r="A26" s="25" t="s">
        <v>155</v>
      </c>
      <c r="B26" s="26"/>
      <c r="C26" s="26"/>
      <c r="D26" s="26"/>
      <c r="E26" s="26"/>
      <c r="F26" s="26"/>
      <c r="G26" s="26"/>
      <c r="H26" s="26"/>
    </row>
    <row r="27" spans="1:8" x14ac:dyDescent="0.25">
      <c r="A27" s="14" t="s">
        <v>156</v>
      </c>
      <c r="B27" s="28" t="s">
        <v>120</v>
      </c>
      <c r="C27" s="35" t="s">
        <v>157</v>
      </c>
      <c r="D27" s="18" t="s">
        <v>158</v>
      </c>
    </row>
    <row r="28" spans="1:8" x14ac:dyDescent="0.25">
      <c r="A28" s="19" t="s">
        <v>159</v>
      </c>
      <c r="B28" s="19" t="s">
        <v>101</v>
      </c>
      <c r="C28" s="19" t="s">
        <v>160</v>
      </c>
      <c r="D28" s="27" t="s">
        <v>103</v>
      </c>
    </row>
    <row r="29" spans="1:8" x14ac:dyDescent="0.25">
      <c r="A29" s="16" t="s">
        <v>157</v>
      </c>
      <c r="B29" s="28" t="s">
        <v>117</v>
      </c>
      <c r="C29" s="32">
        <v>0.06</v>
      </c>
      <c r="D29" s="18" t="s">
        <v>161</v>
      </c>
    </row>
    <row r="30" spans="1:8" x14ac:dyDescent="0.25">
      <c r="A30" s="16" t="s">
        <v>162</v>
      </c>
      <c r="B30" s="28" t="s">
        <v>117</v>
      </c>
      <c r="C30" s="32">
        <v>0.15</v>
      </c>
      <c r="D30" s="18" t="s">
        <v>163</v>
      </c>
    </row>
    <row r="31" spans="1:8" x14ac:dyDescent="0.25">
      <c r="A31" s="16" t="s">
        <v>164</v>
      </c>
      <c r="B31" s="28" t="s">
        <v>117</v>
      </c>
      <c r="C31" s="32">
        <v>0.06</v>
      </c>
      <c r="D31" s="18" t="s">
        <v>165</v>
      </c>
    </row>
    <row r="32" spans="1:8" x14ac:dyDescent="0.25">
      <c r="A32" s="14" t="s">
        <v>166</v>
      </c>
      <c r="B32" s="28" t="s">
        <v>167</v>
      </c>
      <c r="C32" s="32">
        <v>0.01</v>
      </c>
      <c r="D32" s="18" t="s">
        <v>168</v>
      </c>
    </row>
    <row r="33" spans="1:8" x14ac:dyDescent="0.25">
      <c r="A33" s="14" t="s">
        <v>169</v>
      </c>
      <c r="B33" s="28" t="s">
        <v>170</v>
      </c>
      <c r="C33" s="30">
        <v>2400000</v>
      </c>
      <c r="D33" s="18" t="s">
        <v>171</v>
      </c>
    </row>
    <row r="34" spans="1:8" x14ac:dyDescent="0.25">
      <c r="A34" s="14" t="s">
        <v>172</v>
      </c>
      <c r="B34" s="28" t="s">
        <v>170</v>
      </c>
      <c r="C34" s="30">
        <v>20000000</v>
      </c>
      <c r="D34" s="18" t="s">
        <v>173</v>
      </c>
    </row>
    <row r="36" spans="1:8" x14ac:dyDescent="0.25">
      <c r="A36" s="25" t="s">
        <v>174</v>
      </c>
      <c r="B36" s="26"/>
      <c r="C36" s="26"/>
      <c r="D36" s="26"/>
      <c r="E36" s="26"/>
      <c r="F36" s="26"/>
      <c r="G36" s="26"/>
      <c r="H36" s="26"/>
    </row>
    <row r="37" spans="1:8" x14ac:dyDescent="0.25">
      <c r="A37" s="19" t="s">
        <v>100</v>
      </c>
      <c r="B37" s="19" t="s">
        <v>101</v>
      </c>
      <c r="C37" s="19" t="s">
        <v>175</v>
      </c>
      <c r="D37" s="19" t="s">
        <v>176</v>
      </c>
      <c r="E37" s="19" t="s">
        <v>177</v>
      </c>
      <c r="F37" s="19" t="s">
        <v>178</v>
      </c>
      <c r="G37" s="19" t="s">
        <v>179</v>
      </c>
      <c r="H37" s="27" t="s">
        <v>103</v>
      </c>
    </row>
    <row r="38" spans="1:8" ht="25.5" x14ac:dyDescent="0.25">
      <c r="A38" s="16" t="s">
        <v>180</v>
      </c>
      <c r="B38" s="28"/>
      <c r="C38" s="36" t="s">
        <v>181</v>
      </c>
      <c r="D38" s="36" t="s">
        <v>182</v>
      </c>
      <c r="E38" s="36" t="s">
        <v>183</v>
      </c>
      <c r="F38" s="36" t="s">
        <v>184</v>
      </c>
      <c r="G38" s="36" t="s">
        <v>185</v>
      </c>
      <c r="H38" s="18" t="s">
        <v>186</v>
      </c>
    </row>
    <row r="39" spans="1:8" x14ac:dyDescent="0.25">
      <c r="A39" s="14" t="s">
        <v>187</v>
      </c>
      <c r="B39" s="28" t="s">
        <v>188</v>
      </c>
      <c r="C39" s="37">
        <v>32</v>
      </c>
      <c r="D39" s="37">
        <v>58</v>
      </c>
      <c r="E39" s="37">
        <v>22</v>
      </c>
      <c r="F39" s="37">
        <v>105</v>
      </c>
      <c r="G39" s="37">
        <v>98</v>
      </c>
      <c r="H39" s="18" t="s">
        <v>189</v>
      </c>
    </row>
    <row r="40" spans="1:8" x14ac:dyDescent="0.25">
      <c r="A40" s="14" t="s">
        <v>190</v>
      </c>
      <c r="B40" s="28" t="s">
        <v>191</v>
      </c>
      <c r="C40" s="31">
        <v>1.3</v>
      </c>
      <c r="D40" s="31">
        <v>1</v>
      </c>
      <c r="E40" s="31">
        <v>0.3</v>
      </c>
      <c r="F40" s="31">
        <v>2.6</v>
      </c>
      <c r="G40" s="31">
        <v>0.4</v>
      </c>
      <c r="H40" s="18" t="s">
        <v>192</v>
      </c>
    </row>
    <row r="41" spans="1:8" x14ac:dyDescent="0.25">
      <c r="A41" s="14" t="s">
        <v>193</v>
      </c>
      <c r="B41" s="28" t="s">
        <v>194</v>
      </c>
      <c r="C41" s="38">
        <v>1.2E-2</v>
      </c>
      <c r="D41" s="38">
        <v>5.0000000000000001E-3</v>
      </c>
      <c r="E41" s="38">
        <v>1.1999999999999999E-3</v>
      </c>
      <c r="F41" s="38">
        <v>1.7999999999999999E-2</v>
      </c>
      <c r="G41" s="38">
        <v>1.8E-3</v>
      </c>
      <c r="H41" s="18" t="s">
        <v>195</v>
      </c>
    </row>
    <row r="42" spans="1:8" x14ac:dyDescent="0.25">
      <c r="A42" s="14" t="s">
        <v>196</v>
      </c>
      <c r="B42" s="28" t="s">
        <v>197</v>
      </c>
      <c r="C42" s="30">
        <v>200</v>
      </c>
      <c r="D42" s="30">
        <v>150</v>
      </c>
      <c r="E42" s="30">
        <v>300</v>
      </c>
      <c r="F42" s="30">
        <v>100</v>
      </c>
      <c r="G42" s="30">
        <v>100</v>
      </c>
      <c r="H42" s="18" t="s">
        <v>198</v>
      </c>
    </row>
    <row r="43" spans="1:8" x14ac:dyDescent="0.25">
      <c r="A43" s="14" t="s">
        <v>199</v>
      </c>
      <c r="B43" s="28" t="s">
        <v>108</v>
      </c>
      <c r="C43" s="30">
        <v>2490</v>
      </c>
      <c r="D43" s="30">
        <v>2990</v>
      </c>
      <c r="E43" s="30">
        <v>1290</v>
      </c>
      <c r="F43" s="30">
        <v>4490</v>
      </c>
      <c r="G43" s="30">
        <v>3490</v>
      </c>
      <c r="H43" s="18" t="s">
        <v>200</v>
      </c>
    </row>
    <row r="44" spans="1:8" x14ac:dyDescent="0.25">
      <c r="A44" s="14" t="s">
        <v>201</v>
      </c>
      <c r="B44" s="28" t="s">
        <v>202</v>
      </c>
      <c r="C44" s="30">
        <v>140</v>
      </c>
      <c r="D44" s="30">
        <v>120</v>
      </c>
      <c r="E44" s="30">
        <v>260</v>
      </c>
      <c r="F44" s="30">
        <v>60</v>
      </c>
      <c r="G44" s="30">
        <v>90</v>
      </c>
      <c r="H44" s="18" t="s">
        <v>203</v>
      </c>
    </row>
    <row r="45" spans="1:8" x14ac:dyDescent="0.25">
      <c r="A45" s="14" t="s">
        <v>204</v>
      </c>
      <c r="B45" s="28" t="s">
        <v>197</v>
      </c>
      <c r="C45" s="30">
        <v>0</v>
      </c>
      <c r="D45" s="30">
        <v>0</v>
      </c>
      <c r="E45" s="30">
        <v>0</v>
      </c>
      <c r="F45" s="30">
        <v>0</v>
      </c>
      <c r="G45" s="30">
        <v>0</v>
      </c>
      <c r="H45" s="18" t="s">
        <v>205</v>
      </c>
    </row>
    <row r="46" spans="1:8" ht="24" x14ac:dyDescent="0.25">
      <c r="A46" s="14" t="s">
        <v>206</v>
      </c>
      <c r="B46" s="28" t="s">
        <v>207</v>
      </c>
      <c r="C46" s="32">
        <v>0.1</v>
      </c>
      <c r="D46" s="32">
        <v>0.05</v>
      </c>
      <c r="E46" s="32">
        <v>0</v>
      </c>
      <c r="F46" s="32">
        <v>0.1</v>
      </c>
      <c r="G46" s="32">
        <v>0</v>
      </c>
      <c r="H46" s="18" t="s">
        <v>208</v>
      </c>
    </row>
    <row r="47" spans="1:8" x14ac:dyDescent="0.25">
      <c r="A47" s="14" t="s">
        <v>209</v>
      </c>
      <c r="B47" s="28" t="s">
        <v>117</v>
      </c>
      <c r="C47" s="32">
        <v>0.22</v>
      </c>
      <c r="D47" s="32">
        <v>0.22</v>
      </c>
      <c r="E47" s="32">
        <v>0.22</v>
      </c>
      <c r="F47" s="32">
        <v>0.22</v>
      </c>
      <c r="G47" s="32">
        <v>0.22</v>
      </c>
      <c r="H47" s="18" t="s">
        <v>210</v>
      </c>
    </row>
    <row r="48" spans="1:8" x14ac:dyDescent="0.25">
      <c r="A48" s="14" t="s">
        <v>211</v>
      </c>
      <c r="B48" s="28" t="s">
        <v>212</v>
      </c>
      <c r="C48" s="30">
        <v>20000</v>
      </c>
      <c r="D48" s="30">
        <v>45000</v>
      </c>
      <c r="E48" s="30">
        <v>40000</v>
      </c>
      <c r="F48" s="30">
        <v>20000</v>
      </c>
      <c r="G48" s="30">
        <v>50000</v>
      </c>
      <c r="H48" s="18" t="s">
        <v>213</v>
      </c>
    </row>
    <row r="49" spans="1:8" x14ac:dyDescent="0.25">
      <c r="A49" s="14" t="s">
        <v>214</v>
      </c>
      <c r="B49" s="28" t="s">
        <v>134</v>
      </c>
      <c r="C49" s="30">
        <v>35</v>
      </c>
      <c r="D49" s="30">
        <v>30</v>
      </c>
      <c r="E49" s="30">
        <v>25</v>
      </c>
      <c r="F49" s="30">
        <v>45</v>
      </c>
      <c r="G49" s="30">
        <v>25</v>
      </c>
      <c r="H49" s="18" t="s">
        <v>215</v>
      </c>
    </row>
    <row r="50" spans="1:8" x14ac:dyDescent="0.25">
      <c r="A50" s="14" t="s">
        <v>216</v>
      </c>
      <c r="B50" s="28" t="s">
        <v>217</v>
      </c>
      <c r="C50" s="32">
        <v>0.2</v>
      </c>
      <c r="D50" s="32">
        <v>0.18</v>
      </c>
      <c r="E50" s="32">
        <v>0.2</v>
      </c>
      <c r="F50" s="32">
        <v>0.2</v>
      </c>
      <c r="G50" s="32">
        <v>0.17</v>
      </c>
      <c r="H50" s="18" t="s">
        <v>218</v>
      </c>
    </row>
    <row r="51" spans="1:8" x14ac:dyDescent="0.25">
      <c r="A51" s="14" t="s">
        <v>219</v>
      </c>
      <c r="B51" s="28" t="s">
        <v>220</v>
      </c>
      <c r="C51" s="30">
        <v>110</v>
      </c>
      <c r="D51" s="30">
        <v>90</v>
      </c>
      <c r="E51" s="30">
        <v>70</v>
      </c>
      <c r="F51" s="30">
        <v>180</v>
      </c>
      <c r="G51" s="30">
        <v>80</v>
      </c>
      <c r="H51" s="18" t="s">
        <v>221</v>
      </c>
    </row>
    <row r="52" spans="1:8" x14ac:dyDescent="0.25">
      <c r="A52" s="14" t="s">
        <v>222</v>
      </c>
      <c r="B52" s="28" t="s">
        <v>223</v>
      </c>
      <c r="C52" s="32">
        <v>0.05</v>
      </c>
      <c r="D52" s="32">
        <v>0.08</v>
      </c>
      <c r="E52" s="32">
        <v>7.0000000000000007E-2</v>
      </c>
      <c r="F52" s="32">
        <v>0.1</v>
      </c>
      <c r="G52" s="32">
        <v>0.09</v>
      </c>
      <c r="H52" s="18" t="s">
        <v>224</v>
      </c>
    </row>
    <row r="54" spans="1:8" x14ac:dyDescent="0.25">
      <c r="A54" s="25" t="s">
        <v>225</v>
      </c>
      <c r="B54" s="26"/>
      <c r="C54" s="26"/>
      <c r="D54" s="26"/>
      <c r="E54" s="26"/>
      <c r="F54" s="26"/>
      <c r="G54" s="26"/>
      <c r="H54" s="26"/>
    </row>
    <row r="55" spans="1:8" x14ac:dyDescent="0.25">
      <c r="A55" s="19" t="s">
        <v>226</v>
      </c>
      <c r="B55" s="19" t="s">
        <v>227</v>
      </c>
      <c r="C55" s="19" t="s">
        <v>228</v>
      </c>
      <c r="D55" s="18" t="s">
        <v>229</v>
      </c>
    </row>
    <row r="56" spans="1:8" x14ac:dyDescent="0.25">
      <c r="A56" s="39">
        <f t="shared" ref="A56:A73" si="0">EDATE(Дата_начала,B56-1)</f>
        <v>46327</v>
      </c>
      <c r="B56" s="40">
        <f t="shared" ref="B56:B73" si="1">ROW()-ROW($B$55)</f>
        <v>1</v>
      </c>
      <c r="C56" s="41">
        <v>0</v>
      </c>
    </row>
    <row r="57" spans="1:8" x14ac:dyDescent="0.25">
      <c r="A57" s="39">
        <f t="shared" si="0"/>
        <v>46357</v>
      </c>
      <c r="B57" s="40">
        <f t="shared" si="1"/>
        <v>2</v>
      </c>
      <c r="C57" s="41">
        <v>0</v>
      </c>
    </row>
    <row r="58" spans="1:8" x14ac:dyDescent="0.25">
      <c r="A58" s="39">
        <f t="shared" si="0"/>
        <v>46388</v>
      </c>
      <c r="B58" s="40">
        <f t="shared" si="1"/>
        <v>3</v>
      </c>
      <c r="C58" s="41">
        <v>0.3</v>
      </c>
    </row>
    <row r="59" spans="1:8" x14ac:dyDescent="0.25">
      <c r="A59" s="39">
        <f t="shared" si="0"/>
        <v>46419</v>
      </c>
      <c r="B59" s="40">
        <f t="shared" si="1"/>
        <v>4</v>
      </c>
      <c r="C59" s="41">
        <v>0.5</v>
      </c>
    </row>
    <row r="60" spans="1:8" x14ac:dyDescent="0.25">
      <c r="A60" s="39">
        <f t="shared" si="0"/>
        <v>46447</v>
      </c>
      <c r="B60" s="40">
        <f t="shared" si="1"/>
        <v>5</v>
      </c>
      <c r="C60" s="41">
        <v>0.7</v>
      </c>
    </row>
    <row r="61" spans="1:8" x14ac:dyDescent="0.25">
      <c r="A61" s="39">
        <f t="shared" si="0"/>
        <v>46478</v>
      </c>
      <c r="B61" s="40">
        <f t="shared" si="1"/>
        <v>6</v>
      </c>
      <c r="C61" s="41">
        <v>0.85</v>
      </c>
    </row>
    <row r="62" spans="1:8" x14ac:dyDescent="0.25">
      <c r="A62" s="39">
        <f t="shared" si="0"/>
        <v>46508</v>
      </c>
      <c r="B62" s="40">
        <f t="shared" si="1"/>
        <v>7</v>
      </c>
      <c r="C62" s="41">
        <v>1</v>
      </c>
    </row>
    <row r="63" spans="1:8" x14ac:dyDescent="0.25">
      <c r="A63" s="39">
        <f t="shared" si="0"/>
        <v>46539</v>
      </c>
      <c r="B63" s="40">
        <f t="shared" si="1"/>
        <v>8</v>
      </c>
      <c r="C63" s="41">
        <v>1</v>
      </c>
    </row>
    <row r="64" spans="1:8" x14ac:dyDescent="0.25">
      <c r="A64" s="39">
        <f t="shared" si="0"/>
        <v>46569</v>
      </c>
      <c r="B64" s="40">
        <f t="shared" si="1"/>
        <v>9</v>
      </c>
      <c r="C64" s="41">
        <v>0.95</v>
      </c>
    </row>
    <row r="65" spans="1:8" x14ac:dyDescent="0.25">
      <c r="A65" s="39">
        <f t="shared" si="0"/>
        <v>46600</v>
      </c>
      <c r="B65" s="40">
        <f t="shared" si="1"/>
        <v>10</v>
      </c>
      <c r="C65" s="41">
        <v>1</v>
      </c>
    </row>
    <row r="66" spans="1:8" x14ac:dyDescent="0.25">
      <c r="A66" s="39">
        <f t="shared" si="0"/>
        <v>46631</v>
      </c>
      <c r="B66" s="40">
        <f t="shared" si="1"/>
        <v>11</v>
      </c>
      <c r="C66" s="41">
        <v>1.05</v>
      </c>
    </row>
    <row r="67" spans="1:8" x14ac:dyDescent="0.25">
      <c r="A67" s="39">
        <f t="shared" si="0"/>
        <v>46661</v>
      </c>
      <c r="B67" s="40">
        <f t="shared" si="1"/>
        <v>12</v>
      </c>
      <c r="C67" s="41">
        <v>1.1000000000000001</v>
      </c>
    </row>
    <row r="68" spans="1:8" x14ac:dyDescent="0.25">
      <c r="A68" s="39">
        <f t="shared" si="0"/>
        <v>46692</v>
      </c>
      <c r="B68" s="40">
        <f t="shared" si="1"/>
        <v>13</v>
      </c>
      <c r="C68" s="41">
        <v>1.25</v>
      </c>
    </row>
    <row r="69" spans="1:8" x14ac:dyDescent="0.25">
      <c r="A69" s="39">
        <f t="shared" si="0"/>
        <v>46722</v>
      </c>
      <c r="B69" s="40">
        <f t="shared" si="1"/>
        <v>14</v>
      </c>
      <c r="C69" s="41">
        <v>1.3</v>
      </c>
    </row>
    <row r="70" spans="1:8" x14ac:dyDescent="0.25">
      <c r="A70" s="39">
        <f t="shared" si="0"/>
        <v>46753</v>
      </c>
      <c r="B70" s="40">
        <f t="shared" si="1"/>
        <v>15</v>
      </c>
      <c r="C70" s="41">
        <v>0.9</v>
      </c>
    </row>
    <row r="71" spans="1:8" x14ac:dyDescent="0.25">
      <c r="A71" s="39">
        <f t="shared" si="0"/>
        <v>46784</v>
      </c>
      <c r="B71" s="40">
        <f t="shared" si="1"/>
        <v>16</v>
      </c>
      <c r="C71" s="41">
        <v>1</v>
      </c>
    </row>
    <row r="72" spans="1:8" x14ac:dyDescent="0.25">
      <c r="A72" s="39">
        <f t="shared" si="0"/>
        <v>46813</v>
      </c>
      <c r="B72" s="40">
        <f t="shared" si="1"/>
        <v>17</v>
      </c>
      <c r="C72" s="41">
        <v>1.05</v>
      </c>
    </row>
    <row r="73" spans="1:8" x14ac:dyDescent="0.25">
      <c r="A73" s="39">
        <f t="shared" si="0"/>
        <v>46844</v>
      </c>
      <c r="B73" s="40">
        <f t="shared" si="1"/>
        <v>18</v>
      </c>
      <c r="C73" s="41">
        <v>1.05</v>
      </c>
    </row>
    <row r="75" spans="1:8" x14ac:dyDescent="0.25">
      <c r="A75" s="25" t="s">
        <v>230</v>
      </c>
      <c r="B75" s="26"/>
      <c r="C75" s="26"/>
      <c r="D75" s="26"/>
      <c r="E75" s="26"/>
      <c r="F75" s="26"/>
      <c r="G75" s="26"/>
      <c r="H75" s="26"/>
    </row>
    <row r="76" spans="1:8" x14ac:dyDescent="0.25">
      <c r="A76" s="18" t="s">
        <v>231</v>
      </c>
    </row>
    <row r="77" spans="1:8" x14ac:dyDescent="0.25">
      <c r="A77" s="18" t="s">
        <v>232</v>
      </c>
    </row>
    <row r="78" spans="1:8" x14ac:dyDescent="0.25">
      <c r="A78" s="18" t="s">
        <v>121</v>
      </c>
    </row>
  </sheetData>
  <sheetProtection sheet="1" formatColumns="0" formatRows="0"/>
  <dataValidations count="11">
    <dataValidation type="decimal" showErrorMessage="1" errorTitle="Проверка ввода" error="Введите долю от 0 до 100 %" sqref="C10 C11 C18 C29 C30 C31 C32 C46 C47 C50 D46 D47 D50 E46 E47 E50 F46 F47 F50 G46 G47 G50" xr:uid="{00000000-0002-0000-0200-000000000000}">
      <formula1>0</formula1>
      <formula2>1</formula2>
    </dataValidation>
    <dataValidation type="decimal" operator="greaterThanOrEqual" showErrorMessage="1" errorTitle="Проверка ввода" error="Значение не может быть отрицательным" sqref="C8 C9 C13 C14 C15 C16 C17 C19 C20 C33 C34 C39 C40 C41 C43 C44 C45 C48 C49 C51 C56 C57 C58 C59 C60 C61 C62 C63 C64 C65 C66 C67 C68 C69 C70 C71 C72 C73 D39 D40 D41 D43 D44 D45 D48 D49 D51 E39 E40 E41 E43 E44 E45 E48 E49 E51 F39 F40 F41 F43 F44 F45 F48 F49 F51 G39 G40 G41 G43 G44 G45 G48 G49 G51" xr:uid="{00000000-0002-0000-0200-000001000000}">
      <formula1>0</formula1>
    </dataValidation>
    <dataValidation type="whole" showErrorMessage="1" error="Целое число от 1 до 6" sqref="C21" xr:uid="{00000000-0002-0000-0200-000002000000}">
      <formula1>1</formula1>
      <formula2>6</formula2>
    </dataValidation>
    <dataValidation type="whole" showErrorMessage="1" error="Целое число от 0 до 3" sqref="C22" xr:uid="{00000000-0002-0000-0200-000003000000}">
      <formula1>0</formula1>
      <formula2>3</formula2>
    </dataValidation>
    <dataValidation type="decimal" showErrorMessage="1" error="От 0 до 120 дней" sqref="C23" xr:uid="{00000000-0002-0000-0200-000004000000}">
      <formula1>0</formula1>
      <formula2>120</formula2>
    </dataValidation>
    <dataValidation type="decimal" showErrorMessage="1" error="От 28 до 31" sqref="C24" xr:uid="{00000000-0002-0000-0200-000005000000}">
      <formula1>28</formula1>
      <formula2>31</formula2>
    </dataValidation>
    <dataValidation type="list" showErrorMessage="1" error="Выберите значение из списка" sqref="C12" xr:uid="{00000000-0002-0000-0200-000006000000}">
      <formula1>Доставка_список</formula1>
    </dataValidation>
    <dataValidation type="list" showErrorMessage="1" error="Выберите режим из списка" sqref="C27" xr:uid="{00000000-0002-0000-0200-000007000000}">
      <formula1>Налог_список</formula1>
    </dataValidation>
    <dataValidation type="date" operator="greaterThan" showErrorMessage="1" error="Введите дату" sqref="C7" xr:uid="{00000000-0002-0000-0200-000008000000}">
      <formula1>36526</formula1>
    </dataValidation>
    <dataValidation type="whole" operator="greaterThanOrEqual" showErrorMessage="1" error="Целое число не меньше 1" sqref="C42 D42 E42 F42 G42" xr:uid="{00000000-0002-0000-0200-000009000000}">
      <formula1>1</formula1>
    </dataValidation>
    <dataValidation type="decimal" showErrorMessage="1" error="От 0 до 95 %" sqref="C52 D52 E52 F52 G52" xr:uid="{00000000-0002-0000-0200-00000A000000}">
      <formula1>0</formula1>
      <formula2>0.95</formula2>
    </dataValidation>
  </dataValidation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I31"/>
  <sheetViews>
    <sheetView showGridLines="0" zoomScale="90" workbookViewId="0"/>
  </sheetViews>
  <sheetFormatPr defaultRowHeight="15" x14ac:dyDescent="0.25"/>
  <cols>
    <col min="1" max="1" width="44" customWidth="1"/>
    <col min="2" max="2" width="14" customWidth="1"/>
    <col min="3" max="6" width="16" customWidth="1"/>
    <col min="7" max="8" width="18" customWidth="1"/>
    <col min="9" max="9" width="16" customWidth="1"/>
  </cols>
  <sheetData>
    <row r="1" spans="1:6" ht="21" x14ac:dyDescent="0.35">
      <c r="A1" s="1" t="s">
        <v>73</v>
      </c>
    </row>
    <row r="2" spans="1:6" x14ac:dyDescent="0.25">
      <c r="A2" s="18" t="s">
        <v>233</v>
      </c>
    </row>
    <row r="3" spans="1:6" x14ac:dyDescent="0.25">
      <c r="A3" s="2" t="s">
        <v>5</v>
      </c>
    </row>
    <row r="5" spans="1:6" x14ac:dyDescent="0.25">
      <c r="A5" s="24" t="s">
        <v>234</v>
      </c>
      <c r="C5" s="115" t="s">
        <v>235</v>
      </c>
      <c r="D5" s="116"/>
    </row>
    <row r="7" spans="1:6" x14ac:dyDescent="0.25">
      <c r="A7" s="25" t="s">
        <v>236</v>
      </c>
      <c r="B7" s="26"/>
      <c r="C7" s="26"/>
      <c r="D7" s="26"/>
      <c r="E7" s="26"/>
      <c r="F7" s="26"/>
    </row>
    <row r="8" spans="1:6" x14ac:dyDescent="0.25">
      <c r="A8" s="19" t="s">
        <v>100</v>
      </c>
      <c r="B8" s="19" t="s">
        <v>101</v>
      </c>
      <c r="C8" s="19" t="s">
        <v>235</v>
      </c>
      <c r="D8" s="19" t="s">
        <v>237</v>
      </c>
      <c r="E8" s="19" t="s">
        <v>238</v>
      </c>
      <c r="F8" s="19" t="s">
        <v>239</v>
      </c>
    </row>
    <row r="9" spans="1:6" x14ac:dyDescent="0.25">
      <c r="A9" s="14" t="s">
        <v>240</v>
      </c>
      <c r="B9" s="28" t="s">
        <v>241</v>
      </c>
      <c r="C9" s="42">
        <v>0</v>
      </c>
      <c r="D9" s="42">
        <v>0.15</v>
      </c>
      <c r="E9" s="42">
        <v>-0.05</v>
      </c>
      <c r="F9" s="43">
        <f>INDEX($C9:$E9,Сценарий_номер)</f>
        <v>0</v>
      </c>
    </row>
    <row r="10" spans="1:6" x14ac:dyDescent="0.25">
      <c r="A10" s="14" t="s">
        <v>242</v>
      </c>
      <c r="B10" s="28" t="s">
        <v>241</v>
      </c>
      <c r="C10" s="42">
        <v>0</v>
      </c>
      <c r="D10" s="42">
        <v>-0.08</v>
      </c>
      <c r="E10" s="42">
        <v>0.05</v>
      </c>
      <c r="F10" s="43">
        <f>INDEX($C10:$E10,Сценарий_номер)</f>
        <v>0</v>
      </c>
    </row>
    <row r="11" spans="1:6" x14ac:dyDescent="0.25">
      <c r="A11" s="14" t="s">
        <v>243</v>
      </c>
      <c r="B11" s="28" t="s">
        <v>241</v>
      </c>
      <c r="C11" s="42">
        <v>0</v>
      </c>
      <c r="D11" s="42">
        <v>-0.25</v>
      </c>
      <c r="E11" s="42">
        <v>0.2</v>
      </c>
      <c r="F11" s="43">
        <f>INDEX($C11:$E11,Сценарий_номер)</f>
        <v>0</v>
      </c>
    </row>
    <row r="12" spans="1:6" x14ac:dyDescent="0.25">
      <c r="A12" s="14" t="s">
        <v>244</v>
      </c>
      <c r="B12" s="28" t="s">
        <v>245</v>
      </c>
      <c r="C12" s="42">
        <v>0</v>
      </c>
      <c r="D12" s="42">
        <v>0.03</v>
      </c>
      <c r="E12" s="42">
        <v>-0.02</v>
      </c>
      <c r="F12" s="43">
        <f>INDEX($C12:$E12,Сценарий_номер)</f>
        <v>0</v>
      </c>
    </row>
    <row r="14" spans="1:6" x14ac:dyDescent="0.25">
      <c r="A14" s="25" t="s">
        <v>246</v>
      </c>
      <c r="B14" s="26"/>
      <c r="C14" s="26"/>
      <c r="D14" s="26"/>
      <c r="E14" s="26"/>
      <c r="F14" s="26"/>
    </row>
    <row r="15" spans="1:6" x14ac:dyDescent="0.25">
      <c r="A15" s="14" t="s">
        <v>240</v>
      </c>
      <c r="B15" s="28" t="s">
        <v>111</v>
      </c>
      <c r="C15" s="44">
        <f>IF(Курс_анализ&gt;0,Курс_анализ,Курс_база*(1+$F$9))</f>
        <v>12</v>
      </c>
    </row>
    <row r="16" spans="1:6" x14ac:dyDescent="0.25">
      <c r="A16" s="14" t="s">
        <v>247</v>
      </c>
      <c r="B16" s="28" t="s">
        <v>248</v>
      </c>
      <c r="C16" s="45">
        <f>(1+$F$10)*(1+Цена_анализ)</f>
        <v>1</v>
      </c>
    </row>
    <row r="17" spans="1:9" x14ac:dyDescent="0.25">
      <c r="A17" s="14" t="s">
        <v>249</v>
      </c>
      <c r="B17" s="28" t="s">
        <v>248</v>
      </c>
      <c r="C17" s="45">
        <f>(1+$F$11)*(1+Объём_анализ)</f>
        <v>1</v>
      </c>
    </row>
    <row r="18" spans="1:9" x14ac:dyDescent="0.25">
      <c r="A18" s="14" t="s">
        <v>250</v>
      </c>
      <c r="B18" s="28" t="s">
        <v>117</v>
      </c>
      <c r="C18" s="46">
        <f>MAX(0,ДРР_база+$F$12)</f>
        <v>0.08</v>
      </c>
    </row>
    <row r="19" spans="1:9" x14ac:dyDescent="0.25">
      <c r="A19" s="14" t="s">
        <v>251</v>
      </c>
      <c r="B19" s="28" t="s">
        <v>252</v>
      </c>
      <c r="C19" s="47">
        <f>MATCH(Налог_режим,Налог_список,0)</f>
        <v>1</v>
      </c>
    </row>
    <row r="20" spans="1:9" x14ac:dyDescent="0.25">
      <c r="A20" s="14" t="s">
        <v>253</v>
      </c>
      <c r="B20" s="28" t="s">
        <v>252</v>
      </c>
      <c r="C20" s="47">
        <f>MATCH(Доставка_способ,Доставка_список,0)</f>
        <v>3</v>
      </c>
    </row>
    <row r="21" spans="1:9" x14ac:dyDescent="0.25">
      <c r="A21" s="14" t="s">
        <v>254</v>
      </c>
      <c r="B21" s="28" t="s">
        <v>252</v>
      </c>
      <c r="C21" s="47">
        <f>IF(Сценарий_ручной&gt;0,Сценарий_ручной,MATCH(Сценарий_выбор,$C$8:$E$8,0))</f>
        <v>1</v>
      </c>
    </row>
    <row r="22" spans="1:9" x14ac:dyDescent="0.25">
      <c r="A22" s="18" t="s">
        <v>255</v>
      </c>
      <c r="C22" s="48">
        <v>0</v>
      </c>
    </row>
    <row r="24" spans="1:9" x14ac:dyDescent="0.25">
      <c r="A24" s="25" t="s">
        <v>256</v>
      </c>
      <c r="B24" s="26"/>
      <c r="C24" s="26"/>
      <c r="D24" s="26"/>
      <c r="E24" s="26"/>
      <c r="F24" s="26"/>
      <c r="G24" s="26"/>
      <c r="H24" s="26"/>
      <c r="I24" s="26"/>
    </row>
    <row r="25" spans="1:9" ht="42" customHeight="1" x14ac:dyDescent="0.25">
      <c r="A25" s="19" t="s">
        <v>257</v>
      </c>
      <c r="B25" s="19" t="s">
        <v>252</v>
      </c>
      <c r="C25" s="19" t="s">
        <v>258</v>
      </c>
      <c r="D25" s="19" t="s">
        <v>259</v>
      </c>
      <c r="E25" s="19" t="s">
        <v>260</v>
      </c>
      <c r="F25" s="19" t="s">
        <v>261</v>
      </c>
      <c r="G25" s="19" t="s">
        <v>262</v>
      </c>
      <c r="H25" s="19" t="s">
        <v>263</v>
      </c>
      <c r="I25" s="19" t="s">
        <v>264</v>
      </c>
    </row>
    <row r="26" spans="1:9" x14ac:dyDescent="0.25">
      <c r="A26" s="18" t="s">
        <v>265</v>
      </c>
      <c r="B26" s="49">
        <f>Сценарий_номер</f>
        <v>1</v>
      </c>
      <c r="C26" s="50">
        <f>ЧП_итого</f>
        <v>3052575.4576580962</v>
      </c>
      <c r="D26" s="50">
        <f>Выручка_итого</f>
        <v>24404970</v>
      </c>
      <c r="E26" s="51">
        <f>Рентабельность</f>
        <v>0.12508007416760178</v>
      </c>
      <c r="F26" s="52">
        <f>ROI_период</f>
        <v>1.2730327083210389</v>
      </c>
      <c r="G26" s="50">
        <f>Пик_вложений</f>
        <v>2397876.6906028972</v>
      </c>
      <c r="H26" s="50">
        <f>Макс_разрыв</f>
        <v>397876.69060289767</v>
      </c>
      <c r="I26" s="53">
        <f>Окупаемость_мес</f>
        <v>16</v>
      </c>
    </row>
    <row r="27" spans="1:9" x14ac:dyDescent="0.25">
      <c r="A27" s="20" t="str">
        <f>INDEX($C$8:$E$8,B27)</f>
        <v>Базовый</v>
      </c>
      <c r="B27" s="54">
        <v>1</v>
      </c>
      <c r="C27" s="55">
        <f t="dataTable" ref="C27:I29" dt2D="0" dtr="0" r1="C22" ca="1"/>
        <v>3052575.4576580962</v>
      </c>
      <c r="D27" s="55">
        <v>24404970</v>
      </c>
      <c r="E27" s="56">
        <v>0.12508007416760178</v>
      </c>
      <c r="F27" s="57">
        <v>1.2730327083210389</v>
      </c>
      <c r="G27" s="55">
        <v>2397876.6906028972</v>
      </c>
      <c r="H27" s="55">
        <v>397876.69060289767</v>
      </c>
      <c r="I27" s="58">
        <v>16</v>
      </c>
    </row>
    <row r="28" spans="1:9" x14ac:dyDescent="0.25">
      <c r="A28" s="20" t="str">
        <f>INDEX($C$8:$E$8,B28)</f>
        <v>Пессимистичный</v>
      </c>
      <c r="B28" s="54">
        <v>2</v>
      </c>
      <c r="C28" s="55">
        <v>-343308.81838371401</v>
      </c>
      <c r="D28" s="55">
        <v>16862864</v>
      </c>
      <c r="E28" s="56">
        <v>-2.0358867769064259E-2</v>
      </c>
      <c r="F28" s="57">
        <v>-0.1141083506441502</v>
      </c>
      <c r="G28" s="55">
        <v>3008621.3361748722</v>
      </c>
      <c r="H28" s="55">
        <v>1008621.336174872</v>
      </c>
      <c r="I28" s="58" t="str">
        <v>более 18</v>
      </c>
    </row>
    <row r="29" spans="1:9" x14ac:dyDescent="0.25">
      <c r="A29" s="20" t="str">
        <f>INDEX($C$8:$E$8,B29)</f>
        <v>Оптимистичный</v>
      </c>
      <c r="B29" s="54">
        <v>3</v>
      </c>
      <c r="C29" s="55">
        <v>5941977.9735155804</v>
      </c>
      <c r="D29" s="55">
        <v>30733720.5</v>
      </c>
      <c r="E29" s="56">
        <v>0.19333741170437144</v>
      </c>
      <c r="F29" s="57">
        <v>2.5329487454123232</v>
      </c>
      <c r="G29" s="55">
        <v>2345873.750614848</v>
      </c>
      <c r="H29" s="55">
        <v>345873.7506148481</v>
      </c>
      <c r="I29" s="58">
        <v>13</v>
      </c>
    </row>
    <row r="31" spans="1:9" x14ac:dyDescent="0.25">
      <c r="A31" s="18" t="s">
        <v>266</v>
      </c>
    </row>
  </sheetData>
  <sheetProtection sheet="1" formatColumns="0" formatRows="0"/>
  <mergeCells count="1">
    <mergeCell ref="C5:D5"/>
  </mergeCells>
  <conditionalFormatting sqref="C27:C29">
    <cfRule type="cellIs" dxfId="14" priority="1" operator="lessThan">
      <formula>0</formula>
    </cfRule>
  </conditionalFormatting>
  <conditionalFormatting sqref="E27:F29">
    <cfRule type="cellIs" dxfId="13" priority="2" operator="lessThan">
      <formula>0</formula>
    </cfRule>
  </conditionalFormatting>
  <dataValidations count="1">
    <dataValidation type="list" showErrorMessage="1" error="Выберите сценарий из списка" sqref="C5" xr:uid="{00000000-0002-0000-0300-000000000000}">
      <formula1>$C$8:$E$8</formula1>
    </dataValidation>
  </dataValidation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pageSetUpPr fitToPage="1"/>
  </sheetPr>
  <dimension ref="A1:G40"/>
  <sheetViews>
    <sheetView showGridLines="0" zoomScale="90" workbookViewId="0">
      <pane xSplit="2" ySplit="4" topLeftCell="C5" activePane="bottomRight" state="frozen"/>
      <selection pane="topRight"/>
      <selection pane="bottomLeft"/>
      <selection pane="bottomRight"/>
    </sheetView>
  </sheetViews>
  <sheetFormatPr defaultRowHeight="15" x14ac:dyDescent="0.25"/>
  <cols>
    <col min="1" max="1" width="52" customWidth="1"/>
    <col min="2" max="2" width="10" customWidth="1"/>
    <col min="3" max="7" width="17" customWidth="1"/>
  </cols>
  <sheetData>
    <row r="1" spans="1:7" ht="21" x14ac:dyDescent="0.35">
      <c r="A1" s="1" t="s">
        <v>267</v>
      </c>
    </row>
    <row r="2" spans="1:7" x14ac:dyDescent="0.25">
      <c r="A2" s="2" t="s">
        <v>5</v>
      </c>
    </row>
    <row r="3" spans="1:7" x14ac:dyDescent="0.25">
      <c r="A3" s="24" t="str">
        <f>"Сценарий: "&amp;Сценарий_выбор&amp;"   •   курс "&amp;FIXED(Курс,2)&amp;" ₽/¥   •   налог: "&amp;Налог_режим</f>
        <v>Сценарий: Базовый   •   курс 12,00 ₽/¥   •   налог: УСН 6%</v>
      </c>
    </row>
    <row r="4" spans="1:7" ht="30" customHeight="1" x14ac:dyDescent="0.25">
      <c r="A4" s="19" t="s">
        <v>268</v>
      </c>
      <c r="B4" s="19" t="s">
        <v>101</v>
      </c>
      <c r="C4" s="19" t="str">
        <f>""&amp;Допущения!$C$38</f>
        <v>Органайзер в багажник</v>
      </c>
      <c r="D4" s="19" t="str">
        <f>""&amp;Допущения!$D$38</f>
        <v>Автопылесос беспроводной</v>
      </c>
      <c r="E4" s="19" t="str">
        <f>""&amp;Допущения!$E$38</f>
        <v>Держатель телефона MagSafe</v>
      </c>
      <c r="F4" s="19" t="str">
        <f>""&amp;Допущения!$F$38</f>
        <v>Чехлы на сиденья, комплект</v>
      </c>
      <c r="G4" s="19" t="str">
        <f>""&amp;Допущения!$G$38</f>
        <v>Видеорегистратор Wi-Fi</v>
      </c>
    </row>
    <row r="5" spans="1:7" x14ac:dyDescent="0.25">
      <c r="A5" s="25" t="s">
        <v>269</v>
      </c>
      <c r="B5" s="26"/>
      <c r="C5" s="26"/>
      <c r="D5" s="26"/>
      <c r="E5" s="26"/>
      <c r="F5" s="26"/>
      <c r="G5" s="26"/>
    </row>
    <row r="6" spans="1:7" x14ac:dyDescent="0.25">
      <c r="A6" s="59" t="s">
        <v>270</v>
      </c>
      <c r="B6" s="60" t="s">
        <v>108</v>
      </c>
      <c r="C6" s="61">
        <f>Допущения!$C$43*Множитель_цены</f>
        <v>2490</v>
      </c>
      <c r="D6" s="61">
        <f>Допущения!$D$43*Множитель_цены</f>
        <v>2990</v>
      </c>
      <c r="E6" s="61">
        <f>Допущения!$E$43*Множитель_цены</f>
        <v>1290</v>
      </c>
      <c r="F6" s="61">
        <f>Допущения!$F$43*Множитель_цены</f>
        <v>4490</v>
      </c>
      <c r="G6" s="61">
        <f>Допущения!$G$43*Множитель_цены</f>
        <v>3490</v>
      </c>
    </row>
    <row r="7" spans="1:7" x14ac:dyDescent="0.25">
      <c r="A7" s="25" t="s">
        <v>271</v>
      </c>
      <c r="B7" s="26"/>
      <c r="C7" s="26"/>
      <c r="D7" s="26"/>
      <c r="E7" s="26"/>
      <c r="F7" s="26"/>
      <c r="G7" s="26"/>
    </row>
    <row r="8" spans="1:7" x14ac:dyDescent="0.25">
      <c r="A8" s="62" t="s">
        <v>272</v>
      </c>
      <c r="B8" s="28" t="s">
        <v>273</v>
      </c>
      <c r="C8" s="63">
        <f>Допущения!$C$39</f>
        <v>32</v>
      </c>
      <c r="D8" s="63">
        <f>Допущения!$D$39</f>
        <v>58</v>
      </c>
      <c r="E8" s="63">
        <f>Допущения!$E$39</f>
        <v>22</v>
      </c>
      <c r="F8" s="63">
        <f>Допущения!$F$39</f>
        <v>105</v>
      </c>
      <c r="G8" s="63">
        <f>Допущения!$G$39</f>
        <v>98</v>
      </c>
    </row>
    <row r="9" spans="1:7" x14ac:dyDescent="0.25">
      <c r="A9" s="62" t="s">
        <v>240</v>
      </c>
      <c r="B9" s="28" t="s">
        <v>274</v>
      </c>
      <c r="C9" s="64">
        <f>Курс</f>
        <v>12</v>
      </c>
      <c r="D9" s="64">
        <f>Курс</f>
        <v>12</v>
      </c>
      <c r="E9" s="64">
        <f>Курс</f>
        <v>12</v>
      </c>
      <c r="F9" s="64">
        <f>Курс</f>
        <v>12</v>
      </c>
      <c r="G9" s="64">
        <f>Курс</f>
        <v>12</v>
      </c>
    </row>
    <row r="10" spans="1:7" x14ac:dyDescent="0.25">
      <c r="A10" s="62" t="s">
        <v>21</v>
      </c>
      <c r="B10" s="28" t="s">
        <v>108</v>
      </c>
      <c r="C10" s="65">
        <f>C8*C9</f>
        <v>384</v>
      </c>
      <c r="D10" s="65">
        <f>D8*D9</f>
        <v>696</v>
      </c>
      <c r="E10" s="65">
        <f>E8*E9</f>
        <v>264</v>
      </c>
      <c r="F10" s="65">
        <f>F8*F9</f>
        <v>1260</v>
      </c>
      <c r="G10" s="65">
        <f>G8*G9</f>
        <v>1176</v>
      </c>
    </row>
    <row r="11" spans="1:7" x14ac:dyDescent="0.25">
      <c r="A11" s="62" t="s">
        <v>275</v>
      </c>
      <c r="B11" s="28" t="s">
        <v>108</v>
      </c>
      <c r="C11" s="65">
        <f>C10*Комиссия_агента</f>
        <v>11.52</v>
      </c>
      <c r="D11" s="65">
        <f>D10*Комиссия_агента</f>
        <v>20.88</v>
      </c>
      <c r="E11" s="65">
        <f>E10*Комиссия_агента</f>
        <v>7.92</v>
      </c>
      <c r="F11" s="65">
        <f>F10*Комиссия_агента</f>
        <v>37.799999999999997</v>
      </c>
      <c r="G11" s="65">
        <f>G10*Комиссия_агента</f>
        <v>35.28</v>
      </c>
    </row>
    <row r="12" spans="1:7" x14ac:dyDescent="0.25">
      <c r="A12" s="62" t="s">
        <v>276</v>
      </c>
      <c r="B12" s="28" t="s">
        <v>108</v>
      </c>
      <c r="C12" s="65">
        <f>(C10+C11)*Банк_комиссия</f>
        <v>5.9327999999999994</v>
      </c>
      <c r="D12" s="65">
        <f>(D10+D11)*Банк_комиссия</f>
        <v>10.7532</v>
      </c>
      <c r="E12" s="65">
        <f>(E10+E11)*Банк_комиссия</f>
        <v>4.0788000000000002</v>
      </c>
      <c r="F12" s="65">
        <f>(F10+F11)*Банк_комиссия</f>
        <v>19.466999999999999</v>
      </c>
      <c r="G12" s="65">
        <f>(G10+G11)*Банк_комиссия</f>
        <v>18.1692</v>
      </c>
    </row>
    <row r="13" spans="1:7" x14ac:dyDescent="0.25">
      <c r="A13" s="62" t="s">
        <v>277</v>
      </c>
      <c r="B13" s="28" t="s">
        <v>108</v>
      </c>
      <c r="C13" s="65">
        <f>CHOOSE(Доставка_номер,Допущения!$C$40*Доставка_кг,Допущения!$C$41*Доставка_м3,MAX(Допущения!$C$40*Доставка_кг,Допущения!$C$41*Доставка_м3))</f>
        <v>288</v>
      </c>
      <c r="D13" s="65">
        <f>CHOOSE(Доставка_номер,Допущения!$D$40*Доставка_кг,Допущения!$D$41*Доставка_м3,MAX(Допущения!$D$40*Доставка_кг,Допущения!$D$41*Доставка_м3))</f>
        <v>220</v>
      </c>
      <c r="E13" s="65">
        <f>CHOOSE(Доставка_номер,Допущения!$E$40*Доставка_кг,Допущения!$E$41*Доставка_м3,MAX(Допущения!$E$40*Доставка_кг,Допущения!$E$41*Доставка_м3))</f>
        <v>66</v>
      </c>
      <c r="F13" s="65">
        <f>CHOOSE(Доставка_номер,Допущения!$F$40*Доставка_кг,Допущения!$F$41*Доставка_м3,MAX(Допущения!$F$40*Доставка_кг,Допущения!$F$41*Доставка_м3))</f>
        <v>572</v>
      </c>
      <c r="G13" s="65">
        <f>CHOOSE(Доставка_номер,Допущения!$G$40*Доставка_кг,Допущения!$G$41*Доставка_м3,MAX(Допущения!$G$40*Доставка_кг,Допущения!$G$41*Доставка_м3))</f>
        <v>88</v>
      </c>
    </row>
    <row r="14" spans="1:7" x14ac:dyDescent="0.25">
      <c r="A14" s="66" t="s">
        <v>278</v>
      </c>
      <c r="B14" s="28" t="s">
        <v>108</v>
      </c>
      <c r="C14" s="67">
        <f>C10+C13</f>
        <v>672</v>
      </c>
      <c r="D14" s="67">
        <f>D10+D13</f>
        <v>916</v>
      </c>
      <c r="E14" s="67">
        <f>E10+E13</f>
        <v>330</v>
      </c>
      <c r="F14" s="67">
        <f>F10+F13</f>
        <v>1832</v>
      </c>
      <c r="G14" s="67">
        <f>G10+G13</f>
        <v>1264</v>
      </c>
    </row>
    <row r="15" spans="1:7" x14ac:dyDescent="0.25">
      <c r="A15" s="62" t="s">
        <v>279</v>
      </c>
      <c r="B15" s="28" t="s">
        <v>108</v>
      </c>
      <c r="C15" s="65">
        <f>C14*Допущения!$C$46</f>
        <v>67.2</v>
      </c>
      <c r="D15" s="65">
        <f>D14*Допущения!$D$46</f>
        <v>45.800000000000004</v>
      </c>
      <c r="E15" s="65">
        <f>E14*Допущения!$E$46</f>
        <v>0</v>
      </c>
      <c r="F15" s="65">
        <f>F14*Допущения!$F$46</f>
        <v>183.20000000000002</v>
      </c>
      <c r="G15" s="65">
        <f>G14*Допущения!$G$46</f>
        <v>0</v>
      </c>
    </row>
    <row r="16" spans="1:7" x14ac:dyDescent="0.25">
      <c r="A16" s="62" t="s">
        <v>280</v>
      </c>
      <c r="B16" s="28" t="s">
        <v>108</v>
      </c>
      <c r="C16" s="65">
        <f>(C14+C15)*Допущения!$C$47</f>
        <v>162.62400000000002</v>
      </c>
      <c r="D16" s="65">
        <f>(D14+D15)*Допущения!$D$47</f>
        <v>211.596</v>
      </c>
      <c r="E16" s="65">
        <f>(E14+E15)*Допущения!$E$47</f>
        <v>72.599999999999994</v>
      </c>
      <c r="F16" s="65">
        <f>(F14+F15)*Допущения!$F$47</f>
        <v>443.34399999999999</v>
      </c>
      <c r="G16" s="65">
        <f>(G14+G15)*Допущения!$G$47</f>
        <v>278.08</v>
      </c>
    </row>
    <row r="17" spans="1:7" x14ac:dyDescent="0.25">
      <c r="A17" s="62" t="s">
        <v>281</v>
      </c>
      <c r="B17" s="28" t="s">
        <v>108</v>
      </c>
      <c r="C17" s="65">
        <f>IFERROR(Тамож_оформление/Допущения!$C$42,0)</f>
        <v>40</v>
      </c>
      <c r="D17" s="65">
        <f>IFERROR(Тамож_оформление/Допущения!$D$42,0)</f>
        <v>53.333333333333336</v>
      </c>
      <c r="E17" s="65">
        <f>IFERROR(Тамож_оформление/Допущения!$E$42,0)</f>
        <v>26.666666666666668</v>
      </c>
      <c r="F17" s="65">
        <f>IFERROR(Тамож_оформление/Допущения!$F$42,0)</f>
        <v>80</v>
      </c>
      <c r="G17" s="65">
        <f>IFERROR(Тамож_оформление/Допущения!$G$42,0)</f>
        <v>80</v>
      </c>
    </row>
    <row r="18" spans="1:7" x14ac:dyDescent="0.25">
      <c r="A18" s="62" t="s">
        <v>214</v>
      </c>
      <c r="B18" s="28" t="s">
        <v>108</v>
      </c>
      <c r="C18" s="65">
        <f>Допущения!$C$49</f>
        <v>35</v>
      </c>
      <c r="D18" s="65">
        <f>Допущения!$D$49</f>
        <v>30</v>
      </c>
      <c r="E18" s="65">
        <f>Допущения!$E$49</f>
        <v>25</v>
      </c>
      <c r="F18" s="65">
        <f>Допущения!$F$49</f>
        <v>45</v>
      </c>
      <c r="G18" s="65">
        <f>Допущения!$G$49</f>
        <v>25</v>
      </c>
    </row>
    <row r="19" spans="1:7" x14ac:dyDescent="0.25">
      <c r="A19" s="62" t="s">
        <v>282</v>
      </c>
      <c r="B19" s="28" t="s">
        <v>108</v>
      </c>
      <c r="C19" s="65">
        <f>Допущения!$C$40*Доставка_до_МП</f>
        <v>32.5</v>
      </c>
      <c r="D19" s="65">
        <f>Допущения!$D$40*Доставка_до_МП</f>
        <v>25</v>
      </c>
      <c r="E19" s="65">
        <f>Допущения!$E$40*Доставка_до_МП</f>
        <v>7.5</v>
      </c>
      <c r="F19" s="65">
        <f>Допущения!$F$40*Доставка_до_МП</f>
        <v>65</v>
      </c>
      <c r="G19" s="65">
        <f>Допущения!$G$40*Доставка_до_МП</f>
        <v>10</v>
      </c>
    </row>
    <row r="20" spans="1:7" x14ac:dyDescent="0.25">
      <c r="A20" s="59" t="s">
        <v>283</v>
      </c>
      <c r="B20" s="60" t="s">
        <v>108</v>
      </c>
      <c r="C20" s="61">
        <f>C10+C11+C12+C13+C15+C16+C17+C18+C19</f>
        <v>1026.7768000000001</v>
      </c>
      <c r="D20" s="61">
        <f>D10+D11+D12+D13+D15+D16+D17+D18+D19</f>
        <v>1313.3625333333332</v>
      </c>
      <c r="E20" s="61">
        <f>E10+E11+E12+E13+E15+E16+E17+E18+E19</f>
        <v>473.76546666666667</v>
      </c>
      <c r="F20" s="61">
        <f>F10+F11+F12+F13+F15+F16+F17+F18+F19</f>
        <v>2705.8110000000001</v>
      </c>
      <c r="G20" s="61">
        <f>G10+G11+G12+G13+G15+G16+G17+G18+G19</f>
        <v>1710.5291999999999</v>
      </c>
    </row>
    <row r="21" spans="1:7" x14ac:dyDescent="0.25">
      <c r="A21" s="66" t="s">
        <v>284</v>
      </c>
      <c r="B21" s="28" t="s">
        <v>108</v>
      </c>
      <c r="C21" s="67">
        <f>C10+C11+C12</f>
        <v>401.45279999999997</v>
      </c>
      <c r="D21" s="67">
        <f>D10+D11+D12</f>
        <v>727.63319999999999</v>
      </c>
      <c r="E21" s="67">
        <f>E10+E11+E12</f>
        <v>275.99880000000002</v>
      </c>
      <c r="F21" s="67">
        <f>F10+F11+F12</f>
        <v>1317.2670000000001</v>
      </c>
      <c r="G21" s="67">
        <f>G10+G11+G12</f>
        <v>1229.4492</v>
      </c>
    </row>
    <row r="22" spans="1:7" x14ac:dyDescent="0.25">
      <c r="A22" s="66" t="s">
        <v>285</v>
      </c>
      <c r="B22" s="28" t="s">
        <v>108</v>
      </c>
      <c r="C22" s="67">
        <f>C20-C21</f>
        <v>625.32400000000007</v>
      </c>
      <c r="D22" s="67">
        <f>D20-D21</f>
        <v>585.72933333333322</v>
      </c>
      <c r="E22" s="67">
        <f>E20-E21</f>
        <v>197.76666666666665</v>
      </c>
      <c r="F22" s="67">
        <f>F20-F21</f>
        <v>1388.5440000000001</v>
      </c>
      <c r="G22" s="67">
        <f>G20-G21</f>
        <v>481.07999999999993</v>
      </c>
    </row>
    <row r="23" spans="1:7" x14ac:dyDescent="0.25">
      <c r="A23" s="25" t="s">
        <v>286</v>
      </c>
      <c r="B23" s="26"/>
      <c r="C23" s="26"/>
      <c r="D23" s="26"/>
      <c r="E23" s="26"/>
      <c r="F23" s="26"/>
      <c r="G23" s="26"/>
    </row>
    <row r="24" spans="1:7" x14ac:dyDescent="0.25">
      <c r="A24" s="62" t="s">
        <v>216</v>
      </c>
      <c r="B24" s="28" t="s">
        <v>108</v>
      </c>
      <c r="C24" s="65">
        <f>C6*Допущения!$C$50</f>
        <v>498</v>
      </c>
      <c r="D24" s="65">
        <f>D6*Допущения!$D$50</f>
        <v>538.19999999999993</v>
      </c>
      <c r="E24" s="65">
        <f>E6*Допущения!$E$50</f>
        <v>258</v>
      </c>
      <c r="F24" s="65">
        <f>F6*Допущения!$F$50</f>
        <v>898</v>
      </c>
      <c r="G24" s="65">
        <f>G6*Допущения!$G$50</f>
        <v>593.30000000000007</v>
      </c>
    </row>
    <row r="25" spans="1:7" x14ac:dyDescent="0.25">
      <c r="A25" s="62" t="s">
        <v>287</v>
      </c>
      <c r="B25" s="28" t="s">
        <v>108</v>
      </c>
      <c r="C25" s="65">
        <f>(Допущения!$C$51+Допущения!$C$52*Возврат_логистика)/(1-Допущения!$C$52)</f>
        <v>118.42105263157896</v>
      </c>
      <c r="D25" s="65">
        <f>(Допущения!$D$51+Допущения!$D$52*Возврат_логистика)/(1-Допущения!$D$52)</f>
        <v>102.17391304347825</v>
      </c>
      <c r="E25" s="65">
        <f>(Допущения!$E$51+Допущения!$E$52*Возврат_логистика)/(1-Допущения!$E$52)</f>
        <v>79.032258064516128</v>
      </c>
      <c r="F25" s="65">
        <f>(Допущения!$F$51+Допущения!$F$52*Возврат_логистика)/(1-Допущения!$F$52)</f>
        <v>205.55555555555554</v>
      </c>
      <c r="G25" s="65">
        <f>(Допущения!$G$51+Допущения!$G$52*Возврат_логистика)/(1-Допущения!$G$52)</f>
        <v>92.857142857142847</v>
      </c>
    </row>
    <row r="26" spans="1:7" x14ac:dyDescent="0.25">
      <c r="A26" s="62" t="s">
        <v>288</v>
      </c>
      <c r="B26" s="28" t="s">
        <v>108</v>
      </c>
      <c r="C26" s="65">
        <f>C6*ДРР</f>
        <v>199.20000000000002</v>
      </c>
      <c r="D26" s="65">
        <f>D6*ДРР</f>
        <v>239.20000000000002</v>
      </c>
      <c r="E26" s="65">
        <f>E6*ДРР</f>
        <v>103.2</v>
      </c>
      <c r="F26" s="65">
        <f>F6*ДРР</f>
        <v>359.2</v>
      </c>
      <c r="G26" s="65">
        <f>G6*ДРР</f>
        <v>279.2</v>
      </c>
    </row>
    <row r="27" spans="1:7" x14ac:dyDescent="0.25">
      <c r="A27" s="62" t="s">
        <v>289</v>
      </c>
      <c r="B27" s="28" t="s">
        <v>108</v>
      </c>
      <c r="C27" s="65">
        <f>C6-C20-C24-C25-C26</f>
        <v>647.6021473684209</v>
      </c>
      <c r="D27" s="65">
        <f>D6-D20-D24-D25-D26</f>
        <v>797.06355362318845</v>
      </c>
      <c r="E27" s="65">
        <f>E6-E20-E24-E25-E26</f>
        <v>376.00227526881719</v>
      </c>
      <c r="F27" s="65">
        <f>F6-F20-F24-F25-F26</f>
        <v>321.43344444444432</v>
      </c>
      <c r="G27" s="65">
        <f>G6-G20-G24-G25-G26</f>
        <v>814.11365714285694</v>
      </c>
    </row>
    <row r="28" spans="1:7" x14ac:dyDescent="0.25">
      <c r="A28" s="62" t="s">
        <v>290</v>
      </c>
      <c r="B28" s="28" t="s">
        <v>108</v>
      </c>
      <c r="C28" s="65">
        <f>CHOOSE(Налог_номер,C6*Ставка_УСН6,MAX(C27*Ставка_УСН15,C6*Мин_налог_УСН15),C6*Ставка_НПД)</f>
        <v>149.4</v>
      </c>
      <c r="D28" s="65">
        <f>CHOOSE(Налог_номер,D6*Ставка_УСН6,MAX(D27*Ставка_УСН15,D6*Мин_налог_УСН15),D6*Ставка_НПД)</f>
        <v>179.4</v>
      </c>
      <c r="E28" s="65">
        <f>CHOOSE(Налог_номер,E6*Ставка_УСН6,MAX(E27*Ставка_УСН15,E6*Мин_налог_УСН15),E6*Ставка_НПД)</f>
        <v>77.399999999999991</v>
      </c>
      <c r="F28" s="65">
        <f>CHOOSE(Налог_номер,F6*Ставка_УСН6,MAX(F27*Ставка_УСН15,F6*Мин_налог_УСН15),F6*Ставка_НПД)</f>
        <v>269.39999999999998</v>
      </c>
      <c r="G28" s="65">
        <f>CHOOSE(Налог_номер,G6*Ставка_УСН6,MAX(G27*Ставка_УСН15,G6*Мин_налог_УСН15),G6*Ставка_НПД)</f>
        <v>209.4</v>
      </c>
    </row>
    <row r="29" spans="1:7" x14ac:dyDescent="0.25">
      <c r="A29" s="59" t="s">
        <v>291</v>
      </c>
      <c r="B29" s="60" t="s">
        <v>108</v>
      </c>
      <c r="C29" s="61">
        <f>C20+C24+C25+C26+C28</f>
        <v>1991.7978526315792</v>
      </c>
      <c r="D29" s="61">
        <f>D20+D24+D25+D26+D28</f>
        <v>2372.3364463768116</v>
      </c>
      <c r="E29" s="61">
        <f>E20+E24+E25+E26+E28</f>
        <v>991.39772473118285</v>
      </c>
      <c r="F29" s="61">
        <f>F20+F24+F25+F26+F28</f>
        <v>4437.9665555555557</v>
      </c>
      <c r="G29" s="61">
        <f>G20+G24+G25+G26+G28</f>
        <v>2885.2863428571427</v>
      </c>
    </row>
    <row r="30" spans="1:7" x14ac:dyDescent="0.25">
      <c r="A30" s="25" t="s">
        <v>292</v>
      </c>
      <c r="B30" s="26"/>
      <c r="C30" s="26"/>
      <c r="D30" s="26"/>
      <c r="E30" s="26"/>
      <c r="F30" s="26"/>
      <c r="G30" s="26"/>
    </row>
    <row r="31" spans="1:7" x14ac:dyDescent="0.25">
      <c r="A31" s="59" t="s">
        <v>293</v>
      </c>
      <c r="B31" s="60" t="s">
        <v>108</v>
      </c>
      <c r="C31" s="61">
        <f>C6-C29</f>
        <v>498.20214736842081</v>
      </c>
      <c r="D31" s="61">
        <f>D6-D29</f>
        <v>617.66355362318836</v>
      </c>
      <c r="E31" s="61">
        <f>E6-E29</f>
        <v>298.60227526881715</v>
      </c>
      <c r="F31" s="61">
        <f>F6-F29</f>
        <v>52.033444444444285</v>
      </c>
      <c r="G31" s="61">
        <f>G6-G29</f>
        <v>604.7136571428573</v>
      </c>
    </row>
    <row r="32" spans="1:7" x14ac:dyDescent="0.25">
      <c r="A32" s="62" t="s">
        <v>294</v>
      </c>
      <c r="B32" s="28" t="s">
        <v>117</v>
      </c>
      <c r="C32" s="68">
        <f>IFERROR(C31/C6,0)</f>
        <v>0.20008118368209671</v>
      </c>
      <c r="D32" s="68">
        <f>IFERROR(D31/D6,0)</f>
        <v>0.206576439338859</v>
      </c>
      <c r="E32" s="68">
        <f>IFERROR(E31/E6,0)</f>
        <v>0.23147463199133111</v>
      </c>
      <c r="F32" s="68">
        <f>IFERROR(F31/F6,0)</f>
        <v>1.1588740410789373E-2</v>
      </c>
      <c r="G32" s="68">
        <f>IFERROR(G31/G6,0)</f>
        <v>0.17327038886614823</v>
      </c>
    </row>
    <row r="33" spans="1:7" x14ac:dyDescent="0.25">
      <c r="A33" s="62" t="s">
        <v>295</v>
      </c>
      <c r="B33" s="28" t="s">
        <v>117</v>
      </c>
      <c r="C33" s="68">
        <f>IFERROR((C6-C20)/C20,0)</f>
        <v>1.4250645320385109</v>
      </c>
      <c r="D33" s="68">
        <f>IFERROR((D6-D20)/D20,0)</f>
        <v>1.2765991294203716</v>
      </c>
      <c r="E33" s="68">
        <f>IFERROR((E6-E20)/E20,0)</f>
        <v>1.7228662508397261</v>
      </c>
      <c r="F33" s="68">
        <f>IFERROR((F6-F20)/F20,0)</f>
        <v>0.65939158352153926</v>
      </c>
      <c r="G33" s="68">
        <f>IFERROR((G6-G20)/G20,0)</f>
        <v>1.0403042520408305</v>
      </c>
    </row>
    <row r="34" spans="1:7" x14ac:dyDescent="0.25">
      <c r="A34" s="62" t="s">
        <v>296</v>
      </c>
      <c r="B34" s="28" t="s">
        <v>117</v>
      </c>
      <c r="C34" s="68">
        <f>IFERROR(C31/C20,0)</f>
        <v>0.48520978207573523</v>
      </c>
      <c r="D34" s="68">
        <f>IFERROR(D31/D20,0)</f>
        <v>0.47029174195760653</v>
      </c>
      <c r="E34" s="68">
        <f>IFERROR(E31/E20,0)</f>
        <v>0.63027446337474113</v>
      </c>
      <c r="F34" s="68">
        <f>IFERROR(F31/F20,0)</f>
        <v>1.9230258301279831E-2</v>
      </c>
      <c r="G34" s="68">
        <f>IFERROR(G31/G20,0)</f>
        <v>0.3535243111563704</v>
      </c>
    </row>
    <row r="35" spans="1:7" x14ac:dyDescent="0.25">
      <c r="A35" s="25" t="s">
        <v>297</v>
      </c>
      <c r="B35" s="26"/>
      <c r="C35" s="26"/>
      <c r="D35" s="26"/>
      <c r="E35" s="26"/>
      <c r="F35" s="26"/>
      <c r="G35" s="26"/>
    </row>
    <row r="36" spans="1:7" x14ac:dyDescent="0.25">
      <c r="A36" s="62" t="s">
        <v>298</v>
      </c>
      <c r="B36" s="28" t="s">
        <v>202</v>
      </c>
      <c r="C36" s="65">
        <f>Допущения!$C$44*Множитель_продаж</f>
        <v>140</v>
      </c>
      <c r="D36" s="65">
        <f>Допущения!$D$44*Множитель_продаж</f>
        <v>120</v>
      </c>
      <c r="E36" s="65">
        <f>Допущения!$E$44*Множитель_продаж</f>
        <v>260</v>
      </c>
      <c r="F36" s="65">
        <f>Допущения!$F$44*Множитель_продаж</f>
        <v>60</v>
      </c>
      <c r="G36" s="65">
        <f>Допущения!$G$44*Множитель_продаж</f>
        <v>90</v>
      </c>
    </row>
    <row r="37" spans="1:7" x14ac:dyDescent="0.25">
      <c r="A37" s="62" t="s">
        <v>299</v>
      </c>
      <c r="B37" s="28" t="s">
        <v>117</v>
      </c>
      <c r="C37" s="68">
        <f>IFERROR(C6*Допущения!$C$44/SUMPRODUCT($C$6:$G$6,Допущения!$C$44:$G$44),0)</f>
        <v>0.21435159564655967</v>
      </c>
      <c r="D37" s="68">
        <f>IFERROR(D6*Допущения!$D$44/SUMPRODUCT($C$6:$G$6,Допущения!$C$44:$G$44),0)</f>
        <v>0.22062350119904076</v>
      </c>
      <c r="E37" s="68">
        <f>IFERROR(E6*Допущения!$E$44/SUMPRODUCT($C$6:$G$6,Допущения!$C$44:$G$44),0)</f>
        <v>0.20623501199040767</v>
      </c>
      <c r="F37" s="68">
        <f>IFERROR(F6*Допущения!$F$44/SUMPRODUCT($C$6:$G$6,Допущения!$C$44:$G$44),0)</f>
        <v>0.16565209370964767</v>
      </c>
      <c r="G37" s="68">
        <f>IFERROR(G6*Допущения!$G$44/SUMPRODUCT($C$6:$G$6,Допущения!$C$44:$G$44),0)</f>
        <v>0.19313779745434423</v>
      </c>
    </row>
    <row r="38" spans="1:7" x14ac:dyDescent="0.25">
      <c r="A38" s="62" t="s">
        <v>300</v>
      </c>
      <c r="B38" s="28" t="s">
        <v>140</v>
      </c>
      <c r="C38" s="69">
        <f>Пост_расходы*C37</f>
        <v>10717.579782327985</v>
      </c>
      <c r="D38" s="69">
        <f>Пост_расходы*D37</f>
        <v>11031.175059952038</v>
      </c>
      <c r="E38" s="69">
        <f>Пост_расходы*E37</f>
        <v>10311.750599520383</v>
      </c>
      <c r="F38" s="69">
        <f>Пост_расходы*F37</f>
        <v>8282.6046854823835</v>
      </c>
      <c r="G38" s="69">
        <f>Пост_расходы*G37</f>
        <v>9656.8898727172109</v>
      </c>
    </row>
    <row r="39" spans="1:7" x14ac:dyDescent="0.25">
      <c r="A39" s="59" t="s">
        <v>301</v>
      </c>
      <c r="B39" s="60" t="s">
        <v>202</v>
      </c>
      <c r="C39" s="61">
        <f>IF(C31&gt;0,C38/C31,"убыток на ед.")</f>
        <v>21.512512218062213</v>
      </c>
      <c r="D39" s="61">
        <f>IF(D31&gt;0,D38/D31,"убыток на ед.")</f>
        <v>17.859520762142481</v>
      </c>
      <c r="E39" s="61">
        <f>IF(E31&gt;0,E38/E31,"убыток на ед.")</f>
        <v>34.533395936910438</v>
      </c>
      <c r="F39" s="61">
        <f>IF(F31&gt;0,F38/F31,"убыток на ед.")</f>
        <v>159.17848172295527</v>
      </c>
      <c r="G39" s="61">
        <f>IF(G31&gt;0,G38/G31,"убыток на ед.")</f>
        <v>15.969359644271886</v>
      </c>
    </row>
    <row r="40" spans="1:7" x14ac:dyDescent="0.25">
      <c r="A40" s="62" t="s">
        <v>302</v>
      </c>
      <c r="B40" s="28" t="s">
        <v>197</v>
      </c>
      <c r="C40" s="69">
        <f>IF(C31&gt;0,Допущения!$C$48/C31,"—")</f>
        <v>40.144347240659293</v>
      </c>
      <c r="D40" s="69">
        <f>IF(D31&gt;0,Допущения!$D$48/D31,"—")</f>
        <v>72.855197196000802</v>
      </c>
      <c r="E40" s="69">
        <f>IF(E31&gt;0,Допущения!$E$48/E31,"—")</f>
        <v>133.95745214596889</v>
      </c>
      <c r="F40" s="69">
        <f>IF(F31&gt;0,Допущения!$F$48/F31,"—")</f>
        <v>384.36817346108711</v>
      </c>
      <c r="G40" s="69">
        <f>IF(G31&gt;0,Допущения!$G$48/G31,"—")</f>
        <v>82.68376182578595</v>
      </c>
    </row>
  </sheetData>
  <sheetProtection sheet="1" formatColumns="0" formatRows="0"/>
  <conditionalFormatting sqref="C27:G27">
    <cfRule type="cellIs" dxfId="12" priority="4" operator="lessThan">
      <formula>0</formula>
    </cfRule>
  </conditionalFormatting>
  <conditionalFormatting sqref="C31:G32">
    <cfRule type="cellIs" dxfId="11" priority="1" operator="lessThan">
      <formula>0</formula>
    </cfRule>
  </conditionalFormatting>
  <conditionalFormatting sqref="C34:G34">
    <cfRule type="cellIs" dxfId="10" priority="3" operator="lessThan">
      <formula>0</formula>
    </cfRule>
  </conditionalFormatting>
  <conditionalFormatting sqref="C39:G39">
    <cfRule type="expression" dxfId="9" priority="5">
      <formula>ISTEXT(C39)</formula>
    </cfRule>
    <cfRule type="expression" dxfId="8" priority="6">
      <formula>AND(ISNUMBER(C39),C39&gt;C36)</formula>
    </cfRule>
  </conditionalFormatting>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pageSetUpPr fitToPage="1"/>
  </sheetPr>
  <dimension ref="A1:W76"/>
  <sheetViews>
    <sheetView showGridLines="0" zoomScale="90" workbookViewId="0">
      <pane xSplit="5" ySplit="5" topLeftCell="F6" activePane="bottomRight" state="frozen"/>
      <selection pane="topRight"/>
      <selection pane="bottomLeft"/>
      <selection pane="bottomRight"/>
    </sheetView>
  </sheetViews>
  <sheetFormatPr defaultRowHeight="15" x14ac:dyDescent="0.25"/>
  <cols>
    <col min="1" max="1" width="50" customWidth="1"/>
    <col min="2" max="2" width="9" customWidth="1"/>
    <col min="3" max="3" width="12" customWidth="1"/>
    <col min="4" max="4" width="14" customWidth="1"/>
    <col min="5" max="5" width="10" customWidth="1"/>
    <col min="6" max="23" width="11.42578125" customWidth="1"/>
  </cols>
  <sheetData>
    <row r="1" spans="1:23" ht="21" x14ac:dyDescent="0.35">
      <c r="A1" s="1" t="s">
        <v>303</v>
      </c>
    </row>
    <row r="2" spans="1:23" x14ac:dyDescent="0.25">
      <c r="A2" s="18" t="s">
        <v>304</v>
      </c>
    </row>
    <row r="3" spans="1:23" x14ac:dyDescent="0.25">
      <c r="A3" s="2" t="s">
        <v>5</v>
      </c>
    </row>
    <row r="4" spans="1:23" x14ac:dyDescent="0.25">
      <c r="A4" s="18" t="s">
        <v>227</v>
      </c>
      <c r="F4" s="49">
        <f t="shared" ref="F4:W4" si="0">COLUMN()-COLUMN($E$4)</f>
        <v>1</v>
      </c>
      <c r="G4" s="49">
        <f t="shared" si="0"/>
        <v>2</v>
      </c>
      <c r="H4" s="49">
        <f t="shared" si="0"/>
        <v>3</v>
      </c>
      <c r="I4" s="49">
        <f t="shared" si="0"/>
        <v>4</v>
      </c>
      <c r="J4" s="49">
        <f t="shared" si="0"/>
        <v>5</v>
      </c>
      <c r="K4" s="49">
        <f t="shared" si="0"/>
        <v>6</v>
      </c>
      <c r="L4" s="49">
        <f t="shared" si="0"/>
        <v>7</v>
      </c>
      <c r="M4" s="49">
        <f t="shared" si="0"/>
        <v>8</v>
      </c>
      <c r="N4" s="49">
        <f t="shared" si="0"/>
        <v>9</v>
      </c>
      <c r="O4" s="49">
        <f t="shared" si="0"/>
        <v>10</v>
      </c>
      <c r="P4" s="49">
        <f t="shared" si="0"/>
        <v>11</v>
      </c>
      <c r="Q4" s="49">
        <f t="shared" si="0"/>
        <v>12</v>
      </c>
      <c r="R4" s="49">
        <f t="shared" si="0"/>
        <v>13</v>
      </c>
      <c r="S4" s="49">
        <f t="shared" si="0"/>
        <v>14</v>
      </c>
      <c r="T4" s="49">
        <f t="shared" si="0"/>
        <v>15</v>
      </c>
      <c r="U4" s="49">
        <f t="shared" si="0"/>
        <v>16</v>
      </c>
      <c r="V4" s="49">
        <f t="shared" si="0"/>
        <v>17</v>
      </c>
      <c r="W4" s="49">
        <f t="shared" si="0"/>
        <v>18</v>
      </c>
    </row>
    <row r="5" spans="1:23" x14ac:dyDescent="0.25">
      <c r="A5" s="70" t="s">
        <v>268</v>
      </c>
      <c r="B5" s="70" t="s">
        <v>101</v>
      </c>
      <c r="C5" s="70" t="s">
        <v>100</v>
      </c>
      <c r="D5" s="70" t="s">
        <v>32</v>
      </c>
      <c r="E5" s="70" t="s">
        <v>305</v>
      </c>
      <c r="F5" s="71">
        <f t="shared" ref="F5:W5" si="1">EDATE(Дата_начала,F$4-1)</f>
        <v>46327</v>
      </c>
      <c r="G5" s="71">
        <f t="shared" si="1"/>
        <v>46357</v>
      </c>
      <c r="H5" s="71">
        <f t="shared" si="1"/>
        <v>46388</v>
      </c>
      <c r="I5" s="71">
        <f t="shared" si="1"/>
        <v>46419</v>
      </c>
      <c r="J5" s="71">
        <f t="shared" si="1"/>
        <v>46447</v>
      </c>
      <c r="K5" s="71">
        <f t="shared" si="1"/>
        <v>46478</v>
      </c>
      <c r="L5" s="71">
        <f t="shared" si="1"/>
        <v>46508</v>
      </c>
      <c r="M5" s="71">
        <f t="shared" si="1"/>
        <v>46539</v>
      </c>
      <c r="N5" s="71">
        <f t="shared" si="1"/>
        <v>46569</v>
      </c>
      <c r="O5" s="71">
        <f t="shared" si="1"/>
        <v>46600</v>
      </c>
      <c r="P5" s="71">
        <f t="shared" si="1"/>
        <v>46631</v>
      </c>
      <c r="Q5" s="71">
        <f t="shared" si="1"/>
        <v>46661</v>
      </c>
      <c r="R5" s="71">
        <f t="shared" si="1"/>
        <v>46692</v>
      </c>
      <c r="S5" s="71">
        <f t="shared" si="1"/>
        <v>46722</v>
      </c>
      <c r="T5" s="71">
        <f t="shared" si="1"/>
        <v>46753</v>
      </c>
      <c r="U5" s="71">
        <f t="shared" si="1"/>
        <v>46784</v>
      </c>
      <c r="V5" s="71">
        <f t="shared" si="1"/>
        <v>46813</v>
      </c>
      <c r="W5" s="71">
        <f t="shared" si="1"/>
        <v>46844</v>
      </c>
    </row>
    <row r="7" spans="1:23" x14ac:dyDescent="0.25">
      <c r="A7" s="25" t="s">
        <v>306</v>
      </c>
      <c r="B7" s="26"/>
      <c r="C7" s="72" t="s">
        <v>307</v>
      </c>
      <c r="D7" s="26"/>
      <c r="E7" s="26"/>
      <c r="F7" s="26"/>
      <c r="G7" s="26"/>
      <c r="H7" s="26"/>
      <c r="I7" s="26"/>
      <c r="J7" s="26"/>
      <c r="K7" s="26"/>
      <c r="L7" s="26"/>
      <c r="M7" s="26"/>
      <c r="N7" s="26"/>
      <c r="O7" s="26"/>
      <c r="P7" s="26"/>
      <c r="Q7" s="26"/>
      <c r="R7" s="26"/>
      <c r="S7" s="26"/>
      <c r="T7" s="26"/>
      <c r="U7" s="26"/>
      <c r="V7" s="26"/>
      <c r="W7" s="26"/>
    </row>
    <row r="8" spans="1:23" x14ac:dyDescent="0.25">
      <c r="A8" s="73" t="str">
        <f>""&amp;Допущения!$C$38</f>
        <v>Органайзер в багажник</v>
      </c>
      <c r="B8" s="28" t="s">
        <v>197</v>
      </c>
      <c r="C8" s="74">
        <f>Допущения!$C$44</f>
        <v>140</v>
      </c>
      <c r="D8" s="75">
        <f t="shared" ref="D8:D13" si="2">SUM(F8:W8)</f>
        <v>2100</v>
      </c>
      <c r="E8" s="76"/>
      <c r="F8" s="76">
        <f t="shared" ref="F8:O12" si="3">ROUND($C8*INDEX(Темп_продаж,F$4)*Множитель_продаж,0)</f>
        <v>0</v>
      </c>
      <c r="G8" s="76">
        <f t="shared" si="3"/>
        <v>0</v>
      </c>
      <c r="H8" s="76">
        <f t="shared" si="3"/>
        <v>42</v>
      </c>
      <c r="I8" s="76">
        <f t="shared" si="3"/>
        <v>70</v>
      </c>
      <c r="J8" s="76">
        <f t="shared" si="3"/>
        <v>98</v>
      </c>
      <c r="K8" s="76">
        <f t="shared" si="3"/>
        <v>119</v>
      </c>
      <c r="L8" s="76">
        <f t="shared" si="3"/>
        <v>140</v>
      </c>
      <c r="M8" s="76">
        <f t="shared" si="3"/>
        <v>140</v>
      </c>
      <c r="N8" s="76">
        <f t="shared" si="3"/>
        <v>133</v>
      </c>
      <c r="O8" s="76">
        <f t="shared" si="3"/>
        <v>140</v>
      </c>
      <c r="P8" s="76">
        <f t="shared" ref="P8:W12" si="4">ROUND($C8*INDEX(Темп_продаж,P$4)*Множитель_продаж,0)</f>
        <v>147</v>
      </c>
      <c r="Q8" s="76">
        <f t="shared" si="4"/>
        <v>154</v>
      </c>
      <c r="R8" s="76">
        <f t="shared" si="4"/>
        <v>175</v>
      </c>
      <c r="S8" s="76">
        <f t="shared" si="4"/>
        <v>182</v>
      </c>
      <c r="T8" s="76">
        <f t="shared" si="4"/>
        <v>126</v>
      </c>
      <c r="U8" s="76">
        <f t="shared" si="4"/>
        <v>140</v>
      </c>
      <c r="V8" s="76">
        <f t="shared" si="4"/>
        <v>147</v>
      </c>
      <c r="W8" s="76">
        <f t="shared" si="4"/>
        <v>147</v>
      </c>
    </row>
    <row r="9" spans="1:23" x14ac:dyDescent="0.25">
      <c r="A9" s="73" t="str">
        <f>""&amp;Допущения!$D$38</f>
        <v>Автопылесос беспроводной</v>
      </c>
      <c r="B9" s="28" t="s">
        <v>197</v>
      </c>
      <c r="C9" s="74">
        <f>Допущения!$D$44</f>
        <v>120</v>
      </c>
      <c r="D9" s="75">
        <f t="shared" si="2"/>
        <v>1800</v>
      </c>
      <c r="E9" s="76"/>
      <c r="F9" s="76">
        <f t="shared" si="3"/>
        <v>0</v>
      </c>
      <c r="G9" s="76">
        <f t="shared" si="3"/>
        <v>0</v>
      </c>
      <c r="H9" s="76">
        <f t="shared" si="3"/>
        <v>36</v>
      </c>
      <c r="I9" s="76">
        <f t="shared" si="3"/>
        <v>60</v>
      </c>
      <c r="J9" s="76">
        <f t="shared" si="3"/>
        <v>84</v>
      </c>
      <c r="K9" s="76">
        <f t="shared" si="3"/>
        <v>102</v>
      </c>
      <c r="L9" s="76">
        <f t="shared" si="3"/>
        <v>120</v>
      </c>
      <c r="M9" s="76">
        <f t="shared" si="3"/>
        <v>120</v>
      </c>
      <c r="N9" s="76">
        <f t="shared" si="3"/>
        <v>114</v>
      </c>
      <c r="O9" s="76">
        <f t="shared" si="3"/>
        <v>120</v>
      </c>
      <c r="P9" s="76">
        <f t="shared" si="4"/>
        <v>126</v>
      </c>
      <c r="Q9" s="76">
        <f t="shared" si="4"/>
        <v>132</v>
      </c>
      <c r="R9" s="76">
        <f t="shared" si="4"/>
        <v>150</v>
      </c>
      <c r="S9" s="76">
        <f t="shared" si="4"/>
        <v>156</v>
      </c>
      <c r="T9" s="76">
        <f t="shared" si="4"/>
        <v>108</v>
      </c>
      <c r="U9" s="76">
        <f t="shared" si="4"/>
        <v>120</v>
      </c>
      <c r="V9" s="76">
        <f t="shared" si="4"/>
        <v>126</v>
      </c>
      <c r="W9" s="76">
        <f t="shared" si="4"/>
        <v>126</v>
      </c>
    </row>
    <row r="10" spans="1:23" x14ac:dyDescent="0.25">
      <c r="A10" s="73" t="str">
        <f>""&amp;Допущения!$E$38</f>
        <v>Держатель телефона MagSafe</v>
      </c>
      <c r="B10" s="28" t="s">
        <v>197</v>
      </c>
      <c r="C10" s="74">
        <f>Допущения!$E$44</f>
        <v>260</v>
      </c>
      <c r="D10" s="75">
        <f t="shared" si="2"/>
        <v>3900</v>
      </c>
      <c r="E10" s="76"/>
      <c r="F10" s="76">
        <f t="shared" si="3"/>
        <v>0</v>
      </c>
      <c r="G10" s="76">
        <f t="shared" si="3"/>
        <v>0</v>
      </c>
      <c r="H10" s="76">
        <f t="shared" si="3"/>
        <v>78</v>
      </c>
      <c r="I10" s="76">
        <f t="shared" si="3"/>
        <v>130</v>
      </c>
      <c r="J10" s="76">
        <f t="shared" si="3"/>
        <v>182</v>
      </c>
      <c r="K10" s="76">
        <f t="shared" si="3"/>
        <v>221</v>
      </c>
      <c r="L10" s="76">
        <f t="shared" si="3"/>
        <v>260</v>
      </c>
      <c r="M10" s="76">
        <f t="shared" si="3"/>
        <v>260</v>
      </c>
      <c r="N10" s="76">
        <f t="shared" si="3"/>
        <v>247</v>
      </c>
      <c r="O10" s="76">
        <f t="shared" si="3"/>
        <v>260</v>
      </c>
      <c r="P10" s="76">
        <f t="shared" si="4"/>
        <v>273</v>
      </c>
      <c r="Q10" s="76">
        <f t="shared" si="4"/>
        <v>286</v>
      </c>
      <c r="R10" s="76">
        <f t="shared" si="4"/>
        <v>325</v>
      </c>
      <c r="S10" s="76">
        <f t="shared" si="4"/>
        <v>338</v>
      </c>
      <c r="T10" s="76">
        <f t="shared" si="4"/>
        <v>234</v>
      </c>
      <c r="U10" s="76">
        <f t="shared" si="4"/>
        <v>260</v>
      </c>
      <c r="V10" s="76">
        <f t="shared" si="4"/>
        <v>273</v>
      </c>
      <c r="W10" s="76">
        <f t="shared" si="4"/>
        <v>273</v>
      </c>
    </row>
    <row r="11" spans="1:23" x14ac:dyDescent="0.25">
      <c r="A11" s="73" t="str">
        <f>""&amp;Допущения!$F$38</f>
        <v>Чехлы на сиденья, комплект</v>
      </c>
      <c r="B11" s="28" t="s">
        <v>197</v>
      </c>
      <c r="C11" s="74">
        <f>Допущения!$F$44</f>
        <v>60</v>
      </c>
      <c r="D11" s="75">
        <f t="shared" si="2"/>
        <v>900</v>
      </c>
      <c r="E11" s="76"/>
      <c r="F11" s="76">
        <f t="shared" si="3"/>
        <v>0</v>
      </c>
      <c r="G11" s="76">
        <f t="shared" si="3"/>
        <v>0</v>
      </c>
      <c r="H11" s="76">
        <f t="shared" si="3"/>
        <v>18</v>
      </c>
      <c r="I11" s="76">
        <f t="shared" si="3"/>
        <v>30</v>
      </c>
      <c r="J11" s="76">
        <f t="shared" si="3"/>
        <v>42</v>
      </c>
      <c r="K11" s="76">
        <f t="shared" si="3"/>
        <v>51</v>
      </c>
      <c r="L11" s="76">
        <f t="shared" si="3"/>
        <v>60</v>
      </c>
      <c r="M11" s="76">
        <f t="shared" si="3"/>
        <v>60</v>
      </c>
      <c r="N11" s="76">
        <f t="shared" si="3"/>
        <v>57</v>
      </c>
      <c r="O11" s="76">
        <f t="shared" si="3"/>
        <v>60</v>
      </c>
      <c r="P11" s="76">
        <f t="shared" si="4"/>
        <v>63</v>
      </c>
      <c r="Q11" s="76">
        <f t="shared" si="4"/>
        <v>66</v>
      </c>
      <c r="R11" s="76">
        <f t="shared" si="4"/>
        <v>75</v>
      </c>
      <c r="S11" s="76">
        <f t="shared" si="4"/>
        <v>78</v>
      </c>
      <c r="T11" s="76">
        <f t="shared" si="4"/>
        <v>54</v>
      </c>
      <c r="U11" s="76">
        <f t="shared" si="4"/>
        <v>60</v>
      </c>
      <c r="V11" s="76">
        <f t="shared" si="4"/>
        <v>63</v>
      </c>
      <c r="W11" s="76">
        <f t="shared" si="4"/>
        <v>63</v>
      </c>
    </row>
    <row r="12" spans="1:23" x14ac:dyDescent="0.25">
      <c r="A12" s="73" t="str">
        <f>""&amp;Допущения!$G$38</f>
        <v>Видеорегистратор Wi-Fi</v>
      </c>
      <c r="B12" s="28" t="s">
        <v>197</v>
      </c>
      <c r="C12" s="74">
        <f>Допущения!$G$44</f>
        <v>90</v>
      </c>
      <c r="D12" s="75">
        <f t="shared" si="2"/>
        <v>1353</v>
      </c>
      <c r="E12" s="76"/>
      <c r="F12" s="76">
        <f t="shared" si="3"/>
        <v>0</v>
      </c>
      <c r="G12" s="76">
        <f t="shared" si="3"/>
        <v>0</v>
      </c>
      <c r="H12" s="76">
        <f t="shared" si="3"/>
        <v>27</v>
      </c>
      <c r="I12" s="76">
        <f t="shared" si="3"/>
        <v>45</v>
      </c>
      <c r="J12" s="76">
        <f t="shared" si="3"/>
        <v>63</v>
      </c>
      <c r="K12" s="76">
        <f t="shared" si="3"/>
        <v>77</v>
      </c>
      <c r="L12" s="76">
        <f t="shared" si="3"/>
        <v>90</v>
      </c>
      <c r="M12" s="76">
        <f t="shared" si="3"/>
        <v>90</v>
      </c>
      <c r="N12" s="76">
        <f t="shared" si="3"/>
        <v>86</v>
      </c>
      <c r="O12" s="76">
        <f t="shared" si="3"/>
        <v>90</v>
      </c>
      <c r="P12" s="76">
        <f t="shared" si="4"/>
        <v>95</v>
      </c>
      <c r="Q12" s="76">
        <f t="shared" si="4"/>
        <v>99</v>
      </c>
      <c r="R12" s="76">
        <f t="shared" si="4"/>
        <v>113</v>
      </c>
      <c r="S12" s="76">
        <f t="shared" si="4"/>
        <v>117</v>
      </c>
      <c r="T12" s="76">
        <f t="shared" si="4"/>
        <v>81</v>
      </c>
      <c r="U12" s="76">
        <f t="shared" si="4"/>
        <v>90</v>
      </c>
      <c r="V12" s="76">
        <f t="shared" si="4"/>
        <v>95</v>
      </c>
      <c r="W12" s="76">
        <f t="shared" si="4"/>
        <v>95</v>
      </c>
    </row>
    <row r="13" spans="1:23" x14ac:dyDescent="0.25">
      <c r="A13" s="59" t="s">
        <v>32</v>
      </c>
      <c r="B13" s="60" t="s">
        <v>197</v>
      </c>
      <c r="C13" s="77"/>
      <c r="D13" s="75">
        <f t="shared" si="2"/>
        <v>10053</v>
      </c>
      <c r="E13" s="75"/>
      <c r="F13" s="75">
        <f t="shared" ref="F13:W13" si="5">SUM(F8:F12)</f>
        <v>0</v>
      </c>
      <c r="G13" s="75">
        <f t="shared" si="5"/>
        <v>0</v>
      </c>
      <c r="H13" s="75">
        <f t="shared" si="5"/>
        <v>201</v>
      </c>
      <c r="I13" s="75">
        <f t="shared" si="5"/>
        <v>335</v>
      </c>
      <c r="J13" s="75">
        <f t="shared" si="5"/>
        <v>469</v>
      </c>
      <c r="K13" s="75">
        <f t="shared" si="5"/>
        <v>570</v>
      </c>
      <c r="L13" s="75">
        <f t="shared" si="5"/>
        <v>670</v>
      </c>
      <c r="M13" s="75">
        <f t="shared" si="5"/>
        <v>670</v>
      </c>
      <c r="N13" s="75">
        <f t="shared" si="5"/>
        <v>637</v>
      </c>
      <c r="O13" s="75">
        <f t="shared" si="5"/>
        <v>670</v>
      </c>
      <c r="P13" s="75">
        <f t="shared" si="5"/>
        <v>704</v>
      </c>
      <c r="Q13" s="75">
        <f t="shared" si="5"/>
        <v>737</v>
      </c>
      <c r="R13" s="75">
        <f t="shared" si="5"/>
        <v>838</v>
      </c>
      <c r="S13" s="75">
        <f t="shared" si="5"/>
        <v>871</v>
      </c>
      <c r="T13" s="75">
        <f t="shared" si="5"/>
        <v>603</v>
      </c>
      <c r="U13" s="75">
        <f t="shared" si="5"/>
        <v>670</v>
      </c>
      <c r="V13" s="75">
        <f t="shared" si="5"/>
        <v>704</v>
      </c>
      <c r="W13" s="75">
        <f t="shared" si="5"/>
        <v>704</v>
      </c>
    </row>
    <row r="15" spans="1:23" x14ac:dyDescent="0.25">
      <c r="A15" s="25" t="s">
        <v>308</v>
      </c>
      <c r="B15" s="26"/>
      <c r="C15" s="72"/>
      <c r="D15" s="26"/>
      <c r="E15" s="26"/>
      <c r="F15" s="26"/>
      <c r="G15" s="26"/>
      <c r="H15" s="26"/>
      <c r="I15" s="26"/>
      <c r="J15" s="26"/>
      <c r="K15" s="26"/>
      <c r="L15" s="26"/>
      <c r="M15" s="26"/>
      <c r="N15" s="26"/>
      <c r="O15" s="26"/>
      <c r="P15" s="26"/>
      <c r="Q15" s="26"/>
      <c r="R15" s="26"/>
      <c r="S15" s="26"/>
      <c r="T15" s="26"/>
      <c r="U15" s="26"/>
      <c r="V15" s="26"/>
      <c r="W15" s="26"/>
    </row>
    <row r="16" spans="1:23" x14ac:dyDescent="0.25">
      <c r="A16" s="73" t="str">
        <f>""&amp;Допущения!$C$38</f>
        <v>Органайзер в багажник</v>
      </c>
      <c r="B16" s="28" t="s">
        <v>197</v>
      </c>
      <c r="C16" s="74"/>
      <c r="D16" s="75">
        <f t="shared" ref="D16:D21" si="6">SUM(F16:W16)</f>
        <v>2400</v>
      </c>
      <c r="E16" s="76"/>
      <c r="F16" s="76">
        <f>SUMIFS($E$71:E$71,$E$4:E$4,F$4-Срок_поставки)</f>
        <v>0</v>
      </c>
      <c r="G16" s="76">
        <f>SUMIFS($E$71:F$71,$E$4:F$4,G$4-Срок_поставки)</f>
        <v>0</v>
      </c>
      <c r="H16" s="76">
        <f>SUMIFS($E$71:G$71,$E$4:G$4,H$4-Срок_поставки)</f>
        <v>200</v>
      </c>
      <c r="I16" s="76">
        <f>SUMIFS($E$71:H$71,$E$4:H$4,I$4-Срок_поставки)</f>
        <v>200</v>
      </c>
      <c r="J16" s="76">
        <f>SUMIFS($E$71:I$71,$E$4:I$4,J$4-Срок_поставки)</f>
        <v>0</v>
      </c>
      <c r="K16" s="76">
        <f>SUMIFS($E$71:J$71,$E$4:J$4,K$4-Срок_поставки)</f>
        <v>200</v>
      </c>
      <c r="L16" s="76">
        <f>SUMIFS($E$71:K$71,$E$4:K$4,L$4-Срок_поставки)</f>
        <v>200</v>
      </c>
      <c r="M16" s="76">
        <f>SUMIFS($E$71:L$71,$E$4:L$4,M$4-Срок_поставки)</f>
        <v>0</v>
      </c>
      <c r="N16" s="76">
        <f>SUMIFS($E$71:M$71,$E$4:M$4,N$4-Срок_поставки)</f>
        <v>200</v>
      </c>
      <c r="O16" s="76">
        <f>SUMIFS($E$71:N$71,$E$4:N$4,O$4-Срок_поставки)</f>
        <v>200</v>
      </c>
      <c r="P16" s="76">
        <f>SUMIFS($E$71:O$71,$E$4:O$4,P$4-Срок_поставки)</f>
        <v>0</v>
      </c>
      <c r="Q16" s="76">
        <f>SUMIFS($E$71:P$71,$E$4:P$4,Q$4-Срок_поставки)</f>
        <v>200</v>
      </c>
      <c r="R16" s="76">
        <f>SUMIFS($E$71:Q$71,$E$4:Q$4,R$4-Срок_поставки)</f>
        <v>200</v>
      </c>
      <c r="S16" s="76">
        <f>SUMIFS($E$71:R$71,$E$4:R$4,S$4-Срок_поставки)</f>
        <v>200</v>
      </c>
      <c r="T16" s="76">
        <f>SUMIFS($E$71:S$71,$E$4:S$4,T$4-Срок_поставки)</f>
        <v>200</v>
      </c>
      <c r="U16" s="76">
        <f>SUMIFS($E$71:T$71,$E$4:T$4,U$4-Срок_поставки)</f>
        <v>0</v>
      </c>
      <c r="V16" s="76">
        <f>SUMIFS($E$71:U$71,$E$4:U$4,V$4-Срок_поставки)</f>
        <v>200</v>
      </c>
      <c r="W16" s="76">
        <f>SUMIFS($E$71:V$71,$E$4:V$4,W$4-Срок_поставки)</f>
        <v>200</v>
      </c>
    </row>
    <row r="17" spans="1:23" x14ac:dyDescent="0.25">
      <c r="A17" s="73" t="str">
        <f>""&amp;Допущения!$D$38</f>
        <v>Автопылесос беспроводной</v>
      </c>
      <c r="B17" s="28" t="s">
        <v>197</v>
      </c>
      <c r="C17" s="74"/>
      <c r="D17" s="75">
        <f t="shared" si="6"/>
        <v>1950</v>
      </c>
      <c r="E17" s="76"/>
      <c r="F17" s="76">
        <f>SUMIFS($E$72:E$72,$E$4:E$4,F$4-Срок_поставки)</f>
        <v>0</v>
      </c>
      <c r="G17" s="76">
        <f>SUMIFS($E$72:F$72,$E$4:F$4,G$4-Срок_поставки)</f>
        <v>0</v>
      </c>
      <c r="H17" s="76">
        <f>SUMIFS($E$72:G$72,$E$4:G$4,H$4-Срок_поставки)</f>
        <v>150</v>
      </c>
      <c r="I17" s="76">
        <f>SUMIFS($E$72:H$72,$E$4:H$4,I$4-Срок_поставки)</f>
        <v>150</v>
      </c>
      <c r="J17" s="76">
        <f>SUMIFS($E$72:I$72,$E$4:I$4,J$4-Срок_поставки)</f>
        <v>0</v>
      </c>
      <c r="K17" s="76">
        <f>SUMIFS($E$72:J$72,$E$4:J$4,K$4-Срок_поставки)</f>
        <v>150</v>
      </c>
      <c r="L17" s="76">
        <f>SUMIFS($E$72:K$72,$E$4:K$4,L$4-Срок_поставки)</f>
        <v>150</v>
      </c>
      <c r="M17" s="76">
        <f>SUMIFS($E$72:L$72,$E$4:L$4,M$4-Срок_поставки)</f>
        <v>150</v>
      </c>
      <c r="N17" s="76">
        <f>SUMIFS($E$72:M$72,$E$4:M$4,N$4-Срок_поставки)</f>
        <v>150</v>
      </c>
      <c r="O17" s="76">
        <f>SUMIFS($E$72:N$72,$E$4:N$4,O$4-Срок_поставки)</f>
        <v>0</v>
      </c>
      <c r="P17" s="76">
        <f>SUMIFS($E$72:O$72,$E$4:O$4,P$4-Срок_поставки)</f>
        <v>150</v>
      </c>
      <c r="Q17" s="76">
        <f>SUMIFS($E$72:P$72,$E$4:P$4,Q$4-Срок_поставки)</f>
        <v>150</v>
      </c>
      <c r="R17" s="76">
        <f>SUMIFS($E$72:Q$72,$E$4:Q$4,R$4-Срок_поставки)</f>
        <v>150</v>
      </c>
      <c r="S17" s="76">
        <f>SUMIFS($E$72:R$72,$E$4:R$4,S$4-Срок_поставки)</f>
        <v>150</v>
      </c>
      <c r="T17" s="76">
        <f>SUMIFS($E$72:S$72,$E$4:S$4,T$4-Срок_поставки)</f>
        <v>150</v>
      </c>
      <c r="U17" s="76">
        <f>SUMIFS($E$72:T$72,$E$4:T$4,U$4-Срок_поставки)</f>
        <v>150</v>
      </c>
      <c r="V17" s="76">
        <f>SUMIFS($E$72:U$72,$E$4:U$4,V$4-Срок_поставки)</f>
        <v>0</v>
      </c>
      <c r="W17" s="76">
        <f>SUMIFS($E$72:V$72,$E$4:V$4,W$4-Срок_поставки)</f>
        <v>150</v>
      </c>
    </row>
    <row r="18" spans="1:23" x14ac:dyDescent="0.25">
      <c r="A18" s="73" t="str">
        <f>""&amp;Допущения!$E$38</f>
        <v>Держатель телефона MagSafe</v>
      </c>
      <c r="B18" s="28" t="s">
        <v>197</v>
      </c>
      <c r="C18" s="74"/>
      <c r="D18" s="75">
        <f t="shared" si="6"/>
        <v>4200</v>
      </c>
      <c r="E18" s="76"/>
      <c r="F18" s="76">
        <f>SUMIFS($E$73:E$73,$E$4:E$4,F$4-Срок_поставки)</f>
        <v>0</v>
      </c>
      <c r="G18" s="76">
        <f>SUMIFS($E$73:F$73,$E$4:F$4,G$4-Срок_поставки)</f>
        <v>0</v>
      </c>
      <c r="H18" s="76">
        <f>SUMIFS($E$73:G$73,$E$4:G$4,H$4-Срок_поставки)</f>
        <v>300</v>
      </c>
      <c r="I18" s="76">
        <f>SUMIFS($E$73:H$73,$E$4:H$4,I$4-Срок_поставки)</f>
        <v>300</v>
      </c>
      <c r="J18" s="76">
        <f>SUMIFS($E$73:I$73,$E$4:I$4,J$4-Срок_поставки)</f>
        <v>300</v>
      </c>
      <c r="K18" s="76">
        <f>SUMIFS($E$73:J$73,$E$4:J$4,K$4-Срок_поставки)</f>
        <v>0</v>
      </c>
      <c r="L18" s="76">
        <f>SUMIFS($E$73:K$73,$E$4:K$4,L$4-Срок_поставки)</f>
        <v>300</v>
      </c>
      <c r="M18" s="76">
        <f>SUMIFS($E$73:L$73,$E$4:L$4,M$4-Срок_поставки)</f>
        <v>300</v>
      </c>
      <c r="N18" s="76">
        <f>SUMIFS($E$73:M$73,$E$4:M$4,N$4-Срок_поставки)</f>
        <v>300</v>
      </c>
      <c r="O18" s="76">
        <f>SUMIFS($E$73:N$73,$E$4:N$4,O$4-Срок_поставки)</f>
        <v>300</v>
      </c>
      <c r="P18" s="76">
        <f>SUMIFS($E$73:O$73,$E$4:O$4,P$4-Срок_поставки)</f>
        <v>300</v>
      </c>
      <c r="Q18" s="76">
        <f>SUMIFS($E$73:P$73,$E$4:P$4,Q$4-Срок_поставки)</f>
        <v>300</v>
      </c>
      <c r="R18" s="76">
        <f>SUMIFS($E$73:Q$73,$E$4:Q$4,R$4-Срок_поставки)</f>
        <v>300</v>
      </c>
      <c r="S18" s="76">
        <f>SUMIFS($E$73:R$73,$E$4:R$4,S$4-Срок_поставки)</f>
        <v>300</v>
      </c>
      <c r="T18" s="76">
        <f>SUMIFS($E$73:S$73,$E$4:S$4,T$4-Срок_поставки)</f>
        <v>300</v>
      </c>
      <c r="U18" s="76">
        <f>SUMIFS($E$73:T$73,$E$4:T$4,U$4-Срок_поставки)</f>
        <v>300</v>
      </c>
      <c r="V18" s="76">
        <f>SUMIFS($E$73:U$73,$E$4:U$4,V$4-Срок_поставки)</f>
        <v>0</v>
      </c>
      <c r="W18" s="76">
        <f>SUMIFS($E$73:V$73,$E$4:V$4,W$4-Срок_поставки)</f>
        <v>300</v>
      </c>
    </row>
    <row r="19" spans="1:23" x14ac:dyDescent="0.25">
      <c r="A19" s="73" t="str">
        <f>""&amp;Допущения!$F$38</f>
        <v>Чехлы на сиденья, комплект</v>
      </c>
      <c r="B19" s="28" t="s">
        <v>197</v>
      </c>
      <c r="C19" s="74"/>
      <c r="D19" s="75">
        <f t="shared" si="6"/>
        <v>1000</v>
      </c>
      <c r="E19" s="76"/>
      <c r="F19" s="76">
        <f>SUMIFS($E$74:E$74,$E$4:E$4,F$4-Срок_поставки)</f>
        <v>0</v>
      </c>
      <c r="G19" s="76">
        <f>SUMIFS($E$74:F$74,$E$4:F$4,G$4-Срок_поставки)</f>
        <v>0</v>
      </c>
      <c r="H19" s="76">
        <f>SUMIFS($E$74:G$74,$E$4:G$4,H$4-Срок_поставки)</f>
        <v>100</v>
      </c>
      <c r="I19" s="76">
        <f>SUMIFS($E$74:H$74,$E$4:H$4,I$4-Срок_поставки)</f>
        <v>0</v>
      </c>
      <c r="J19" s="76">
        <f>SUMIFS($E$74:I$74,$E$4:I$4,J$4-Срок_поставки)</f>
        <v>100</v>
      </c>
      <c r="K19" s="76">
        <f>SUMIFS($E$74:J$74,$E$4:J$4,K$4-Срок_поставки)</f>
        <v>100</v>
      </c>
      <c r="L19" s="76">
        <f>SUMIFS($E$74:K$74,$E$4:K$4,L$4-Срок_поставки)</f>
        <v>0</v>
      </c>
      <c r="M19" s="76">
        <f>SUMIFS($E$74:L$74,$E$4:L$4,M$4-Срок_поставки)</f>
        <v>100</v>
      </c>
      <c r="N19" s="76">
        <f>SUMIFS($E$74:M$74,$E$4:M$4,N$4-Срок_поставки)</f>
        <v>0</v>
      </c>
      <c r="O19" s="76">
        <f>SUMIFS($E$74:N$74,$E$4:N$4,O$4-Срок_поставки)</f>
        <v>100</v>
      </c>
      <c r="P19" s="76">
        <f>SUMIFS($E$74:O$74,$E$4:O$4,P$4-Срок_поставки)</f>
        <v>100</v>
      </c>
      <c r="Q19" s="76">
        <f>SUMIFS($E$74:P$74,$E$4:P$4,Q$4-Срок_поставки)</f>
        <v>0</v>
      </c>
      <c r="R19" s="76">
        <f>SUMIFS($E$74:Q$74,$E$4:Q$4,R$4-Срок_поставки)</f>
        <v>100</v>
      </c>
      <c r="S19" s="76">
        <f>SUMIFS($E$74:R$74,$E$4:R$4,S$4-Срок_поставки)</f>
        <v>100</v>
      </c>
      <c r="T19" s="76">
        <f>SUMIFS($E$74:S$74,$E$4:S$4,T$4-Срок_поставки)</f>
        <v>0</v>
      </c>
      <c r="U19" s="76">
        <f>SUMIFS($E$74:T$74,$E$4:T$4,U$4-Срок_поставки)</f>
        <v>100</v>
      </c>
      <c r="V19" s="76">
        <f>SUMIFS($E$74:U$74,$E$4:U$4,V$4-Срок_поставки)</f>
        <v>0</v>
      </c>
      <c r="W19" s="76">
        <f>SUMIFS($E$74:V$74,$E$4:V$4,W$4-Срок_поставки)</f>
        <v>100</v>
      </c>
    </row>
    <row r="20" spans="1:23" x14ac:dyDescent="0.25">
      <c r="A20" s="73" t="str">
        <f>""&amp;Допущения!$G$38</f>
        <v>Видеорегистратор Wi-Fi</v>
      </c>
      <c r="B20" s="28" t="s">
        <v>197</v>
      </c>
      <c r="C20" s="74"/>
      <c r="D20" s="75">
        <f t="shared" si="6"/>
        <v>1500</v>
      </c>
      <c r="E20" s="76"/>
      <c r="F20" s="76">
        <f>SUMIFS($E$75:E$75,$E$4:E$4,F$4-Срок_поставки)</f>
        <v>0</v>
      </c>
      <c r="G20" s="76">
        <f>SUMIFS($E$75:F$75,$E$4:F$4,G$4-Срок_поставки)</f>
        <v>0</v>
      </c>
      <c r="H20" s="76">
        <f>SUMIFS($E$75:G$75,$E$4:G$4,H$4-Срок_поставки)</f>
        <v>100</v>
      </c>
      <c r="I20" s="76">
        <f>SUMIFS($E$75:H$75,$E$4:H$4,I$4-Срок_поставки)</f>
        <v>100</v>
      </c>
      <c r="J20" s="76">
        <f>SUMIFS($E$75:I$75,$E$4:I$4,J$4-Срок_поставки)</f>
        <v>100</v>
      </c>
      <c r="K20" s="76">
        <f>SUMIFS($E$75:J$75,$E$4:J$4,K$4-Срок_поставки)</f>
        <v>100</v>
      </c>
      <c r="L20" s="76">
        <f>SUMIFS($E$75:K$75,$E$4:K$4,L$4-Срок_поставки)</f>
        <v>0</v>
      </c>
      <c r="M20" s="76">
        <f>SUMIFS($E$75:L$75,$E$4:L$4,M$4-Срок_поставки)</f>
        <v>100</v>
      </c>
      <c r="N20" s="76">
        <f>SUMIFS($E$75:M$75,$E$4:M$4,N$4-Срок_поставки)</f>
        <v>100</v>
      </c>
      <c r="O20" s="76">
        <f>SUMIFS($E$75:N$75,$E$4:N$4,O$4-Срок_поставки)</f>
        <v>100</v>
      </c>
      <c r="P20" s="76">
        <f>SUMIFS($E$75:O$75,$E$4:O$4,P$4-Срок_поставки)</f>
        <v>100</v>
      </c>
      <c r="Q20" s="76">
        <f>SUMIFS($E$75:P$75,$E$4:P$4,Q$4-Срок_поставки)</f>
        <v>100</v>
      </c>
      <c r="R20" s="76">
        <f>SUMIFS($E$75:Q$75,$E$4:Q$4,R$4-Срок_поставки)</f>
        <v>100</v>
      </c>
      <c r="S20" s="76">
        <f>SUMIFS($E$75:R$75,$E$4:R$4,S$4-Срок_поставки)</f>
        <v>100</v>
      </c>
      <c r="T20" s="76">
        <f>SUMIFS($E$75:S$75,$E$4:S$4,T$4-Срок_поставки)</f>
        <v>100</v>
      </c>
      <c r="U20" s="76">
        <f>SUMIFS($E$75:T$75,$E$4:T$4,U$4-Срок_поставки)</f>
        <v>100</v>
      </c>
      <c r="V20" s="76">
        <f>SUMIFS($E$75:U$75,$E$4:U$4,V$4-Срок_поставки)</f>
        <v>100</v>
      </c>
      <c r="W20" s="76">
        <f>SUMIFS($E$75:V$75,$E$4:V$4,W$4-Срок_поставки)</f>
        <v>100</v>
      </c>
    </row>
    <row r="21" spans="1:23" x14ac:dyDescent="0.25">
      <c r="A21" s="59" t="s">
        <v>32</v>
      </c>
      <c r="B21" s="60" t="s">
        <v>197</v>
      </c>
      <c r="C21" s="77"/>
      <c r="D21" s="75">
        <f t="shared" si="6"/>
        <v>11050</v>
      </c>
      <c r="E21" s="75"/>
      <c r="F21" s="75">
        <f t="shared" ref="F21:W21" si="7">SUM(F16:F20)</f>
        <v>0</v>
      </c>
      <c r="G21" s="75">
        <f t="shared" si="7"/>
        <v>0</v>
      </c>
      <c r="H21" s="75">
        <f t="shared" si="7"/>
        <v>850</v>
      </c>
      <c r="I21" s="75">
        <f t="shared" si="7"/>
        <v>750</v>
      </c>
      <c r="J21" s="75">
        <f t="shared" si="7"/>
        <v>500</v>
      </c>
      <c r="K21" s="75">
        <f t="shared" si="7"/>
        <v>550</v>
      </c>
      <c r="L21" s="75">
        <f t="shared" si="7"/>
        <v>650</v>
      </c>
      <c r="M21" s="75">
        <f t="shared" si="7"/>
        <v>650</v>
      </c>
      <c r="N21" s="75">
        <f t="shared" si="7"/>
        <v>750</v>
      </c>
      <c r="O21" s="75">
        <f t="shared" si="7"/>
        <v>700</v>
      </c>
      <c r="P21" s="75">
        <f t="shared" si="7"/>
        <v>650</v>
      </c>
      <c r="Q21" s="75">
        <f t="shared" si="7"/>
        <v>750</v>
      </c>
      <c r="R21" s="75">
        <f t="shared" si="7"/>
        <v>850</v>
      </c>
      <c r="S21" s="75">
        <f t="shared" si="7"/>
        <v>850</v>
      </c>
      <c r="T21" s="75">
        <f t="shared" si="7"/>
        <v>750</v>
      </c>
      <c r="U21" s="75">
        <f t="shared" si="7"/>
        <v>650</v>
      </c>
      <c r="V21" s="75">
        <f t="shared" si="7"/>
        <v>300</v>
      </c>
      <c r="W21" s="75">
        <f t="shared" si="7"/>
        <v>850</v>
      </c>
    </row>
    <row r="23" spans="1:23" x14ac:dyDescent="0.25">
      <c r="A23" s="25" t="s">
        <v>309</v>
      </c>
      <c r="B23" s="26"/>
      <c r="C23" s="72"/>
      <c r="D23" s="26"/>
      <c r="E23" s="26"/>
      <c r="F23" s="26"/>
      <c r="G23" s="26"/>
      <c r="H23" s="26"/>
      <c r="I23" s="26"/>
      <c r="J23" s="26"/>
      <c r="K23" s="26"/>
      <c r="L23" s="26"/>
      <c r="M23" s="26"/>
      <c r="N23" s="26"/>
      <c r="O23" s="26"/>
      <c r="P23" s="26"/>
      <c r="Q23" s="26"/>
      <c r="R23" s="26"/>
      <c r="S23" s="26"/>
      <c r="T23" s="26"/>
      <c r="U23" s="26"/>
      <c r="V23" s="26"/>
      <c r="W23" s="26"/>
    </row>
    <row r="24" spans="1:23" x14ac:dyDescent="0.25">
      <c r="A24" s="73" t="str">
        <f>""&amp;Допущения!$C$38</f>
        <v>Органайзер в багажник</v>
      </c>
      <c r="B24" s="28" t="s">
        <v>197</v>
      </c>
      <c r="C24" s="74"/>
      <c r="D24" s="75">
        <f t="shared" ref="D24:D29" si="8">SUM(F24:W24)</f>
        <v>2100</v>
      </c>
      <c r="E24" s="76"/>
      <c r="F24" s="76">
        <f t="shared" ref="F24:W24" si="9">MIN(F8,E40+F16)</f>
        <v>0</v>
      </c>
      <c r="G24" s="76">
        <f t="shared" si="9"/>
        <v>0</v>
      </c>
      <c r="H24" s="76">
        <f t="shared" si="9"/>
        <v>42</v>
      </c>
      <c r="I24" s="76">
        <f t="shared" si="9"/>
        <v>70</v>
      </c>
      <c r="J24" s="76">
        <f t="shared" si="9"/>
        <v>98</v>
      </c>
      <c r="K24" s="76">
        <f t="shared" si="9"/>
        <v>119</v>
      </c>
      <c r="L24" s="76">
        <f t="shared" si="9"/>
        <v>140</v>
      </c>
      <c r="M24" s="76">
        <f t="shared" si="9"/>
        <v>140</v>
      </c>
      <c r="N24" s="76">
        <f t="shared" si="9"/>
        <v>133</v>
      </c>
      <c r="O24" s="76">
        <f t="shared" si="9"/>
        <v>140</v>
      </c>
      <c r="P24" s="76">
        <f t="shared" si="9"/>
        <v>147</v>
      </c>
      <c r="Q24" s="76">
        <f t="shared" si="9"/>
        <v>154</v>
      </c>
      <c r="R24" s="76">
        <f t="shared" si="9"/>
        <v>175</v>
      </c>
      <c r="S24" s="76">
        <f t="shared" si="9"/>
        <v>182</v>
      </c>
      <c r="T24" s="76">
        <f t="shared" si="9"/>
        <v>126</v>
      </c>
      <c r="U24" s="76">
        <f t="shared" si="9"/>
        <v>140</v>
      </c>
      <c r="V24" s="76">
        <f t="shared" si="9"/>
        <v>147</v>
      </c>
      <c r="W24" s="76">
        <f t="shared" si="9"/>
        <v>147</v>
      </c>
    </row>
    <row r="25" spans="1:23" x14ac:dyDescent="0.25">
      <c r="A25" s="73" t="str">
        <f>""&amp;Допущения!$D$38</f>
        <v>Автопылесос беспроводной</v>
      </c>
      <c r="B25" s="28" t="s">
        <v>197</v>
      </c>
      <c r="C25" s="74"/>
      <c r="D25" s="75">
        <f t="shared" si="8"/>
        <v>1800</v>
      </c>
      <c r="E25" s="76"/>
      <c r="F25" s="76">
        <f t="shared" ref="F25:W25" si="10">MIN(F9,E41+F17)</f>
        <v>0</v>
      </c>
      <c r="G25" s="76">
        <f t="shared" si="10"/>
        <v>0</v>
      </c>
      <c r="H25" s="76">
        <f t="shared" si="10"/>
        <v>36</v>
      </c>
      <c r="I25" s="76">
        <f t="shared" si="10"/>
        <v>60</v>
      </c>
      <c r="J25" s="76">
        <f t="shared" si="10"/>
        <v>84</v>
      </c>
      <c r="K25" s="76">
        <f t="shared" si="10"/>
        <v>102</v>
      </c>
      <c r="L25" s="76">
        <f t="shared" si="10"/>
        <v>120</v>
      </c>
      <c r="M25" s="76">
        <f t="shared" si="10"/>
        <v>120</v>
      </c>
      <c r="N25" s="76">
        <f t="shared" si="10"/>
        <v>114</v>
      </c>
      <c r="O25" s="76">
        <f t="shared" si="10"/>
        <v>120</v>
      </c>
      <c r="P25" s="76">
        <f t="shared" si="10"/>
        <v>126</v>
      </c>
      <c r="Q25" s="76">
        <f t="shared" si="10"/>
        <v>132</v>
      </c>
      <c r="R25" s="76">
        <f t="shared" si="10"/>
        <v>150</v>
      </c>
      <c r="S25" s="76">
        <f t="shared" si="10"/>
        <v>156</v>
      </c>
      <c r="T25" s="76">
        <f t="shared" si="10"/>
        <v>108</v>
      </c>
      <c r="U25" s="76">
        <f t="shared" si="10"/>
        <v>120</v>
      </c>
      <c r="V25" s="76">
        <f t="shared" si="10"/>
        <v>126</v>
      </c>
      <c r="W25" s="76">
        <f t="shared" si="10"/>
        <v>126</v>
      </c>
    </row>
    <row r="26" spans="1:23" x14ac:dyDescent="0.25">
      <c r="A26" s="73" t="str">
        <f>""&amp;Допущения!$E$38</f>
        <v>Держатель телефона MagSafe</v>
      </c>
      <c r="B26" s="28" t="s">
        <v>197</v>
      </c>
      <c r="C26" s="74"/>
      <c r="D26" s="75">
        <f t="shared" si="8"/>
        <v>3900</v>
      </c>
      <c r="E26" s="76"/>
      <c r="F26" s="76">
        <f t="shared" ref="F26:W26" si="11">MIN(F10,E42+F18)</f>
        <v>0</v>
      </c>
      <c r="G26" s="76">
        <f t="shared" si="11"/>
        <v>0</v>
      </c>
      <c r="H26" s="76">
        <f t="shared" si="11"/>
        <v>78</v>
      </c>
      <c r="I26" s="76">
        <f t="shared" si="11"/>
        <v>130</v>
      </c>
      <c r="J26" s="76">
        <f t="shared" si="11"/>
        <v>182</v>
      </c>
      <c r="K26" s="76">
        <f t="shared" si="11"/>
        <v>221</v>
      </c>
      <c r="L26" s="76">
        <f t="shared" si="11"/>
        <v>260</v>
      </c>
      <c r="M26" s="76">
        <f t="shared" si="11"/>
        <v>260</v>
      </c>
      <c r="N26" s="76">
        <f t="shared" si="11"/>
        <v>247</v>
      </c>
      <c r="O26" s="76">
        <f t="shared" si="11"/>
        <v>260</v>
      </c>
      <c r="P26" s="76">
        <f t="shared" si="11"/>
        <v>273</v>
      </c>
      <c r="Q26" s="76">
        <f t="shared" si="11"/>
        <v>286</v>
      </c>
      <c r="R26" s="76">
        <f t="shared" si="11"/>
        <v>325</v>
      </c>
      <c r="S26" s="76">
        <f t="shared" si="11"/>
        <v>338</v>
      </c>
      <c r="T26" s="76">
        <f t="shared" si="11"/>
        <v>234</v>
      </c>
      <c r="U26" s="76">
        <f t="shared" si="11"/>
        <v>260</v>
      </c>
      <c r="V26" s="76">
        <f t="shared" si="11"/>
        <v>273</v>
      </c>
      <c r="W26" s="76">
        <f t="shared" si="11"/>
        <v>273</v>
      </c>
    </row>
    <row r="27" spans="1:23" x14ac:dyDescent="0.25">
      <c r="A27" s="73" t="str">
        <f>""&amp;Допущения!$F$38</f>
        <v>Чехлы на сиденья, комплект</v>
      </c>
      <c r="B27" s="28" t="s">
        <v>197</v>
      </c>
      <c r="C27" s="74"/>
      <c r="D27" s="75">
        <f t="shared" si="8"/>
        <v>900</v>
      </c>
      <c r="E27" s="76"/>
      <c r="F27" s="76">
        <f t="shared" ref="F27:W27" si="12">MIN(F11,E43+F19)</f>
        <v>0</v>
      </c>
      <c r="G27" s="76">
        <f t="shared" si="12"/>
        <v>0</v>
      </c>
      <c r="H27" s="76">
        <f t="shared" si="12"/>
        <v>18</v>
      </c>
      <c r="I27" s="76">
        <f t="shared" si="12"/>
        <v>30</v>
      </c>
      <c r="J27" s="76">
        <f t="shared" si="12"/>
        <v>42</v>
      </c>
      <c r="K27" s="76">
        <f t="shared" si="12"/>
        <v>51</v>
      </c>
      <c r="L27" s="76">
        <f t="shared" si="12"/>
        <v>60</v>
      </c>
      <c r="M27" s="76">
        <f t="shared" si="12"/>
        <v>60</v>
      </c>
      <c r="N27" s="76">
        <f t="shared" si="12"/>
        <v>57</v>
      </c>
      <c r="O27" s="76">
        <f t="shared" si="12"/>
        <v>60</v>
      </c>
      <c r="P27" s="76">
        <f t="shared" si="12"/>
        <v>63</v>
      </c>
      <c r="Q27" s="76">
        <f t="shared" si="12"/>
        <v>66</v>
      </c>
      <c r="R27" s="76">
        <f t="shared" si="12"/>
        <v>75</v>
      </c>
      <c r="S27" s="76">
        <f t="shared" si="12"/>
        <v>78</v>
      </c>
      <c r="T27" s="76">
        <f t="shared" si="12"/>
        <v>54</v>
      </c>
      <c r="U27" s="76">
        <f t="shared" si="12"/>
        <v>60</v>
      </c>
      <c r="V27" s="76">
        <f t="shared" si="12"/>
        <v>63</v>
      </c>
      <c r="W27" s="76">
        <f t="shared" si="12"/>
        <v>63</v>
      </c>
    </row>
    <row r="28" spans="1:23" x14ac:dyDescent="0.25">
      <c r="A28" s="73" t="str">
        <f>""&amp;Допущения!$G$38</f>
        <v>Видеорегистратор Wi-Fi</v>
      </c>
      <c r="B28" s="28" t="s">
        <v>197</v>
      </c>
      <c r="C28" s="74"/>
      <c r="D28" s="75">
        <f t="shared" si="8"/>
        <v>1353</v>
      </c>
      <c r="E28" s="76"/>
      <c r="F28" s="76">
        <f t="shared" ref="F28:W28" si="13">MIN(F12,E44+F20)</f>
        <v>0</v>
      </c>
      <c r="G28" s="76">
        <f t="shared" si="13"/>
        <v>0</v>
      </c>
      <c r="H28" s="76">
        <f t="shared" si="13"/>
        <v>27</v>
      </c>
      <c r="I28" s="76">
        <f t="shared" si="13"/>
        <v>45</v>
      </c>
      <c r="J28" s="76">
        <f t="shared" si="13"/>
        <v>63</v>
      </c>
      <c r="K28" s="76">
        <f t="shared" si="13"/>
        <v>77</v>
      </c>
      <c r="L28" s="76">
        <f t="shared" si="13"/>
        <v>90</v>
      </c>
      <c r="M28" s="76">
        <f t="shared" si="13"/>
        <v>90</v>
      </c>
      <c r="N28" s="76">
        <f t="shared" si="13"/>
        <v>86</v>
      </c>
      <c r="O28" s="76">
        <f t="shared" si="13"/>
        <v>90</v>
      </c>
      <c r="P28" s="76">
        <f t="shared" si="13"/>
        <v>95</v>
      </c>
      <c r="Q28" s="76">
        <f t="shared" si="13"/>
        <v>99</v>
      </c>
      <c r="R28" s="76">
        <f t="shared" si="13"/>
        <v>113</v>
      </c>
      <c r="S28" s="76">
        <f t="shared" si="13"/>
        <v>117</v>
      </c>
      <c r="T28" s="76">
        <f t="shared" si="13"/>
        <v>81</v>
      </c>
      <c r="U28" s="76">
        <f t="shared" si="13"/>
        <v>90</v>
      </c>
      <c r="V28" s="76">
        <f t="shared" si="13"/>
        <v>95</v>
      </c>
      <c r="W28" s="76">
        <f t="shared" si="13"/>
        <v>95</v>
      </c>
    </row>
    <row r="29" spans="1:23" x14ac:dyDescent="0.25">
      <c r="A29" s="59" t="s">
        <v>32</v>
      </c>
      <c r="B29" s="60" t="s">
        <v>197</v>
      </c>
      <c r="C29" s="77"/>
      <c r="D29" s="75">
        <f t="shared" si="8"/>
        <v>10053</v>
      </c>
      <c r="E29" s="75"/>
      <c r="F29" s="75">
        <f t="shared" ref="F29:W29" si="14">SUM(F24:F28)</f>
        <v>0</v>
      </c>
      <c r="G29" s="75">
        <f t="shared" si="14"/>
        <v>0</v>
      </c>
      <c r="H29" s="75">
        <f t="shared" si="14"/>
        <v>201</v>
      </c>
      <c r="I29" s="75">
        <f t="shared" si="14"/>
        <v>335</v>
      </c>
      <c r="J29" s="75">
        <f t="shared" si="14"/>
        <v>469</v>
      </c>
      <c r="K29" s="75">
        <f t="shared" si="14"/>
        <v>570</v>
      </c>
      <c r="L29" s="75">
        <f t="shared" si="14"/>
        <v>670</v>
      </c>
      <c r="M29" s="75">
        <f t="shared" si="14"/>
        <v>670</v>
      </c>
      <c r="N29" s="75">
        <f t="shared" si="14"/>
        <v>637</v>
      </c>
      <c r="O29" s="75">
        <f t="shared" si="14"/>
        <v>670</v>
      </c>
      <c r="P29" s="75">
        <f t="shared" si="14"/>
        <v>704</v>
      </c>
      <c r="Q29" s="75">
        <f t="shared" si="14"/>
        <v>737</v>
      </c>
      <c r="R29" s="75">
        <f t="shared" si="14"/>
        <v>838</v>
      </c>
      <c r="S29" s="75">
        <f t="shared" si="14"/>
        <v>871</v>
      </c>
      <c r="T29" s="75">
        <f t="shared" si="14"/>
        <v>603</v>
      </c>
      <c r="U29" s="75">
        <f t="shared" si="14"/>
        <v>670</v>
      </c>
      <c r="V29" s="75">
        <f t="shared" si="14"/>
        <v>704</v>
      </c>
      <c r="W29" s="75">
        <f t="shared" si="14"/>
        <v>704</v>
      </c>
    </row>
    <row r="31" spans="1:23" x14ac:dyDescent="0.25">
      <c r="A31" s="25" t="s">
        <v>310</v>
      </c>
      <c r="B31" s="26"/>
      <c r="C31" s="72"/>
      <c r="D31" s="26"/>
      <c r="E31" s="26"/>
      <c r="F31" s="26"/>
      <c r="G31" s="26"/>
      <c r="H31" s="26"/>
      <c r="I31" s="26"/>
      <c r="J31" s="26"/>
      <c r="K31" s="26"/>
      <c r="L31" s="26"/>
      <c r="M31" s="26"/>
      <c r="N31" s="26"/>
      <c r="O31" s="26"/>
      <c r="P31" s="26"/>
      <c r="Q31" s="26"/>
      <c r="R31" s="26"/>
      <c r="S31" s="26"/>
      <c r="T31" s="26"/>
      <c r="U31" s="26"/>
      <c r="V31" s="26"/>
      <c r="W31" s="26"/>
    </row>
    <row r="32" spans="1:23" x14ac:dyDescent="0.25">
      <c r="A32" s="73" t="str">
        <f>""&amp;Допущения!$C$38</f>
        <v>Органайзер в багажник</v>
      </c>
      <c r="B32" s="28" t="s">
        <v>197</v>
      </c>
      <c r="C32" s="74"/>
      <c r="D32" s="75">
        <f t="shared" ref="D32:D37" si="15">SUM(F32:W32)</f>
        <v>0</v>
      </c>
      <c r="E32" s="76"/>
      <c r="F32" s="76">
        <f t="shared" ref="F32:W32" si="16">F8-F24</f>
        <v>0</v>
      </c>
      <c r="G32" s="76">
        <f t="shared" si="16"/>
        <v>0</v>
      </c>
      <c r="H32" s="76">
        <f t="shared" si="16"/>
        <v>0</v>
      </c>
      <c r="I32" s="76">
        <f t="shared" si="16"/>
        <v>0</v>
      </c>
      <c r="J32" s="76">
        <f t="shared" si="16"/>
        <v>0</v>
      </c>
      <c r="K32" s="76">
        <f t="shared" si="16"/>
        <v>0</v>
      </c>
      <c r="L32" s="76">
        <f t="shared" si="16"/>
        <v>0</v>
      </c>
      <c r="M32" s="76">
        <f t="shared" si="16"/>
        <v>0</v>
      </c>
      <c r="N32" s="76">
        <f t="shared" si="16"/>
        <v>0</v>
      </c>
      <c r="O32" s="76">
        <f t="shared" si="16"/>
        <v>0</v>
      </c>
      <c r="P32" s="76">
        <f t="shared" si="16"/>
        <v>0</v>
      </c>
      <c r="Q32" s="76">
        <f t="shared" si="16"/>
        <v>0</v>
      </c>
      <c r="R32" s="76">
        <f t="shared" si="16"/>
        <v>0</v>
      </c>
      <c r="S32" s="76">
        <f t="shared" si="16"/>
        <v>0</v>
      </c>
      <c r="T32" s="76">
        <f t="shared" si="16"/>
        <v>0</v>
      </c>
      <c r="U32" s="76">
        <f t="shared" si="16"/>
        <v>0</v>
      </c>
      <c r="V32" s="76">
        <f t="shared" si="16"/>
        <v>0</v>
      </c>
      <c r="W32" s="76">
        <f t="shared" si="16"/>
        <v>0</v>
      </c>
    </row>
    <row r="33" spans="1:23" x14ac:dyDescent="0.25">
      <c r="A33" s="73" t="str">
        <f>""&amp;Допущения!$D$38</f>
        <v>Автопылесос беспроводной</v>
      </c>
      <c r="B33" s="28" t="s">
        <v>197</v>
      </c>
      <c r="C33" s="74"/>
      <c r="D33" s="75">
        <f t="shared" si="15"/>
        <v>0</v>
      </c>
      <c r="E33" s="76"/>
      <c r="F33" s="76">
        <f t="shared" ref="F33:W33" si="17">F9-F25</f>
        <v>0</v>
      </c>
      <c r="G33" s="76">
        <f t="shared" si="17"/>
        <v>0</v>
      </c>
      <c r="H33" s="76">
        <f t="shared" si="17"/>
        <v>0</v>
      </c>
      <c r="I33" s="76">
        <f t="shared" si="17"/>
        <v>0</v>
      </c>
      <c r="J33" s="76">
        <f t="shared" si="17"/>
        <v>0</v>
      </c>
      <c r="K33" s="76">
        <f t="shared" si="17"/>
        <v>0</v>
      </c>
      <c r="L33" s="76">
        <f t="shared" si="17"/>
        <v>0</v>
      </c>
      <c r="M33" s="76">
        <f t="shared" si="17"/>
        <v>0</v>
      </c>
      <c r="N33" s="76">
        <f t="shared" si="17"/>
        <v>0</v>
      </c>
      <c r="O33" s="76">
        <f t="shared" si="17"/>
        <v>0</v>
      </c>
      <c r="P33" s="76">
        <f t="shared" si="17"/>
        <v>0</v>
      </c>
      <c r="Q33" s="76">
        <f t="shared" si="17"/>
        <v>0</v>
      </c>
      <c r="R33" s="76">
        <f t="shared" si="17"/>
        <v>0</v>
      </c>
      <c r="S33" s="76">
        <f t="shared" si="17"/>
        <v>0</v>
      </c>
      <c r="T33" s="76">
        <f t="shared" si="17"/>
        <v>0</v>
      </c>
      <c r="U33" s="76">
        <f t="shared" si="17"/>
        <v>0</v>
      </c>
      <c r="V33" s="76">
        <f t="shared" si="17"/>
        <v>0</v>
      </c>
      <c r="W33" s="76">
        <f t="shared" si="17"/>
        <v>0</v>
      </c>
    </row>
    <row r="34" spans="1:23" x14ac:dyDescent="0.25">
      <c r="A34" s="73" t="str">
        <f>""&amp;Допущения!$E$38</f>
        <v>Держатель телефона MagSafe</v>
      </c>
      <c r="B34" s="28" t="s">
        <v>197</v>
      </c>
      <c r="C34" s="74"/>
      <c r="D34" s="75">
        <f t="shared" si="15"/>
        <v>0</v>
      </c>
      <c r="E34" s="76"/>
      <c r="F34" s="76">
        <f t="shared" ref="F34:W34" si="18">F10-F26</f>
        <v>0</v>
      </c>
      <c r="G34" s="76">
        <f t="shared" si="18"/>
        <v>0</v>
      </c>
      <c r="H34" s="76">
        <f t="shared" si="18"/>
        <v>0</v>
      </c>
      <c r="I34" s="76">
        <f t="shared" si="18"/>
        <v>0</v>
      </c>
      <c r="J34" s="76">
        <f t="shared" si="18"/>
        <v>0</v>
      </c>
      <c r="K34" s="76">
        <f t="shared" si="18"/>
        <v>0</v>
      </c>
      <c r="L34" s="76">
        <f t="shared" si="18"/>
        <v>0</v>
      </c>
      <c r="M34" s="76">
        <f t="shared" si="18"/>
        <v>0</v>
      </c>
      <c r="N34" s="76">
        <f t="shared" si="18"/>
        <v>0</v>
      </c>
      <c r="O34" s="76">
        <f t="shared" si="18"/>
        <v>0</v>
      </c>
      <c r="P34" s="76">
        <f t="shared" si="18"/>
        <v>0</v>
      </c>
      <c r="Q34" s="76">
        <f t="shared" si="18"/>
        <v>0</v>
      </c>
      <c r="R34" s="76">
        <f t="shared" si="18"/>
        <v>0</v>
      </c>
      <c r="S34" s="76">
        <f t="shared" si="18"/>
        <v>0</v>
      </c>
      <c r="T34" s="76">
        <f t="shared" si="18"/>
        <v>0</v>
      </c>
      <c r="U34" s="76">
        <f t="shared" si="18"/>
        <v>0</v>
      </c>
      <c r="V34" s="76">
        <f t="shared" si="18"/>
        <v>0</v>
      </c>
      <c r="W34" s="76">
        <f t="shared" si="18"/>
        <v>0</v>
      </c>
    </row>
    <row r="35" spans="1:23" x14ac:dyDescent="0.25">
      <c r="A35" s="73" t="str">
        <f>""&amp;Допущения!$F$38</f>
        <v>Чехлы на сиденья, комплект</v>
      </c>
      <c r="B35" s="28" t="s">
        <v>197</v>
      </c>
      <c r="C35" s="74"/>
      <c r="D35" s="75">
        <f t="shared" si="15"/>
        <v>0</v>
      </c>
      <c r="E35" s="76"/>
      <c r="F35" s="76">
        <f t="shared" ref="F35:W35" si="19">F11-F27</f>
        <v>0</v>
      </c>
      <c r="G35" s="76">
        <f t="shared" si="19"/>
        <v>0</v>
      </c>
      <c r="H35" s="76">
        <f t="shared" si="19"/>
        <v>0</v>
      </c>
      <c r="I35" s="76">
        <f t="shared" si="19"/>
        <v>0</v>
      </c>
      <c r="J35" s="76">
        <f t="shared" si="19"/>
        <v>0</v>
      </c>
      <c r="K35" s="76">
        <f t="shared" si="19"/>
        <v>0</v>
      </c>
      <c r="L35" s="76">
        <f t="shared" si="19"/>
        <v>0</v>
      </c>
      <c r="M35" s="76">
        <f t="shared" si="19"/>
        <v>0</v>
      </c>
      <c r="N35" s="76">
        <f t="shared" si="19"/>
        <v>0</v>
      </c>
      <c r="O35" s="76">
        <f t="shared" si="19"/>
        <v>0</v>
      </c>
      <c r="P35" s="76">
        <f t="shared" si="19"/>
        <v>0</v>
      </c>
      <c r="Q35" s="76">
        <f t="shared" si="19"/>
        <v>0</v>
      </c>
      <c r="R35" s="76">
        <f t="shared" si="19"/>
        <v>0</v>
      </c>
      <c r="S35" s="76">
        <f t="shared" si="19"/>
        <v>0</v>
      </c>
      <c r="T35" s="76">
        <f t="shared" si="19"/>
        <v>0</v>
      </c>
      <c r="U35" s="76">
        <f t="shared" si="19"/>
        <v>0</v>
      </c>
      <c r="V35" s="76">
        <f t="shared" si="19"/>
        <v>0</v>
      </c>
      <c r="W35" s="76">
        <f t="shared" si="19"/>
        <v>0</v>
      </c>
    </row>
    <row r="36" spans="1:23" x14ac:dyDescent="0.25">
      <c r="A36" s="73" t="str">
        <f>""&amp;Допущения!$G$38</f>
        <v>Видеорегистратор Wi-Fi</v>
      </c>
      <c r="B36" s="28" t="s">
        <v>197</v>
      </c>
      <c r="C36" s="74"/>
      <c r="D36" s="75">
        <f t="shared" si="15"/>
        <v>0</v>
      </c>
      <c r="E36" s="76"/>
      <c r="F36" s="76">
        <f t="shared" ref="F36:W36" si="20">F12-F28</f>
        <v>0</v>
      </c>
      <c r="G36" s="76">
        <f t="shared" si="20"/>
        <v>0</v>
      </c>
      <c r="H36" s="76">
        <f t="shared" si="20"/>
        <v>0</v>
      </c>
      <c r="I36" s="76">
        <f t="shared" si="20"/>
        <v>0</v>
      </c>
      <c r="J36" s="76">
        <f t="shared" si="20"/>
        <v>0</v>
      </c>
      <c r="K36" s="76">
        <f t="shared" si="20"/>
        <v>0</v>
      </c>
      <c r="L36" s="76">
        <f t="shared" si="20"/>
        <v>0</v>
      </c>
      <c r="M36" s="76">
        <f t="shared" si="20"/>
        <v>0</v>
      </c>
      <c r="N36" s="76">
        <f t="shared" si="20"/>
        <v>0</v>
      </c>
      <c r="O36" s="76">
        <f t="shared" si="20"/>
        <v>0</v>
      </c>
      <c r="P36" s="76">
        <f t="shared" si="20"/>
        <v>0</v>
      </c>
      <c r="Q36" s="76">
        <f t="shared" si="20"/>
        <v>0</v>
      </c>
      <c r="R36" s="76">
        <f t="shared" si="20"/>
        <v>0</v>
      </c>
      <c r="S36" s="76">
        <f t="shared" si="20"/>
        <v>0</v>
      </c>
      <c r="T36" s="76">
        <f t="shared" si="20"/>
        <v>0</v>
      </c>
      <c r="U36" s="76">
        <f t="shared" si="20"/>
        <v>0</v>
      </c>
      <c r="V36" s="76">
        <f t="shared" si="20"/>
        <v>0</v>
      </c>
      <c r="W36" s="76">
        <f t="shared" si="20"/>
        <v>0</v>
      </c>
    </row>
    <row r="37" spans="1:23" x14ac:dyDescent="0.25">
      <c r="A37" s="59" t="s">
        <v>32</v>
      </c>
      <c r="B37" s="60" t="s">
        <v>197</v>
      </c>
      <c r="C37" s="77"/>
      <c r="D37" s="75">
        <f t="shared" si="15"/>
        <v>0</v>
      </c>
      <c r="E37" s="75"/>
      <c r="F37" s="75">
        <f t="shared" ref="F37:W37" si="21">SUM(F32:F36)</f>
        <v>0</v>
      </c>
      <c r="G37" s="75">
        <f t="shared" si="21"/>
        <v>0</v>
      </c>
      <c r="H37" s="75">
        <f t="shared" si="21"/>
        <v>0</v>
      </c>
      <c r="I37" s="75">
        <f t="shared" si="21"/>
        <v>0</v>
      </c>
      <c r="J37" s="75">
        <f t="shared" si="21"/>
        <v>0</v>
      </c>
      <c r="K37" s="75">
        <f t="shared" si="21"/>
        <v>0</v>
      </c>
      <c r="L37" s="75">
        <f t="shared" si="21"/>
        <v>0</v>
      </c>
      <c r="M37" s="75">
        <f t="shared" si="21"/>
        <v>0</v>
      </c>
      <c r="N37" s="75">
        <f t="shared" si="21"/>
        <v>0</v>
      </c>
      <c r="O37" s="75">
        <f t="shared" si="21"/>
        <v>0</v>
      </c>
      <c r="P37" s="75">
        <f t="shared" si="21"/>
        <v>0</v>
      </c>
      <c r="Q37" s="75">
        <f t="shared" si="21"/>
        <v>0</v>
      </c>
      <c r="R37" s="75">
        <f t="shared" si="21"/>
        <v>0</v>
      </c>
      <c r="S37" s="75">
        <f t="shared" si="21"/>
        <v>0</v>
      </c>
      <c r="T37" s="75">
        <f t="shared" si="21"/>
        <v>0</v>
      </c>
      <c r="U37" s="75">
        <f t="shared" si="21"/>
        <v>0</v>
      </c>
      <c r="V37" s="75">
        <f t="shared" si="21"/>
        <v>0</v>
      </c>
      <c r="W37" s="75">
        <f t="shared" si="21"/>
        <v>0</v>
      </c>
    </row>
    <row r="39" spans="1:23" x14ac:dyDescent="0.25">
      <c r="A39" s="25" t="s">
        <v>311</v>
      </c>
      <c r="B39" s="26"/>
      <c r="C39" s="72" t="s">
        <v>312</v>
      </c>
      <c r="D39" s="26"/>
      <c r="E39" s="26"/>
      <c r="F39" s="26"/>
      <c r="G39" s="26"/>
      <c r="H39" s="26"/>
      <c r="I39" s="26"/>
      <c r="J39" s="26"/>
      <c r="K39" s="26"/>
      <c r="L39" s="26"/>
      <c r="M39" s="26"/>
      <c r="N39" s="26"/>
      <c r="O39" s="26"/>
      <c r="P39" s="26"/>
      <c r="Q39" s="26"/>
      <c r="R39" s="26"/>
      <c r="S39" s="26"/>
      <c r="T39" s="26"/>
      <c r="U39" s="26"/>
      <c r="V39" s="26"/>
      <c r="W39" s="26"/>
    </row>
    <row r="40" spans="1:23" x14ac:dyDescent="0.25">
      <c r="A40" s="73" t="str">
        <f>""&amp;Допущения!$C$38</f>
        <v>Органайзер в багажник</v>
      </c>
      <c r="B40" s="28" t="s">
        <v>197</v>
      </c>
      <c r="C40" s="74">
        <f>'Юнит-экономика'!$C$20</f>
        <v>1026.7768000000001</v>
      </c>
      <c r="D40" s="75"/>
      <c r="E40" s="76">
        <f>Допущения!$C$45</f>
        <v>0</v>
      </c>
      <c r="F40" s="76">
        <f t="shared" ref="F40:W40" si="22">E40+F16-F24</f>
        <v>0</v>
      </c>
      <c r="G40" s="76">
        <f t="shared" si="22"/>
        <v>0</v>
      </c>
      <c r="H40" s="76">
        <f t="shared" si="22"/>
        <v>158</v>
      </c>
      <c r="I40" s="76">
        <f t="shared" si="22"/>
        <v>288</v>
      </c>
      <c r="J40" s="76">
        <f t="shared" si="22"/>
        <v>190</v>
      </c>
      <c r="K40" s="76">
        <f t="shared" si="22"/>
        <v>271</v>
      </c>
      <c r="L40" s="76">
        <f t="shared" si="22"/>
        <v>331</v>
      </c>
      <c r="M40" s="76">
        <f t="shared" si="22"/>
        <v>191</v>
      </c>
      <c r="N40" s="76">
        <f t="shared" si="22"/>
        <v>258</v>
      </c>
      <c r="O40" s="76">
        <f t="shared" si="22"/>
        <v>318</v>
      </c>
      <c r="P40" s="76">
        <f t="shared" si="22"/>
        <v>171</v>
      </c>
      <c r="Q40" s="76">
        <f t="shared" si="22"/>
        <v>217</v>
      </c>
      <c r="R40" s="76">
        <f t="shared" si="22"/>
        <v>242</v>
      </c>
      <c r="S40" s="76">
        <f t="shared" si="22"/>
        <v>260</v>
      </c>
      <c r="T40" s="76">
        <f t="shared" si="22"/>
        <v>334</v>
      </c>
      <c r="U40" s="76">
        <f t="shared" si="22"/>
        <v>194</v>
      </c>
      <c r="V40" s="76">
        <f t="shared" si="22"/>
        <v>247</v>
      </c>
      <c r="W40" s="76">
        <f t="shared" si="22"/>
        <v>300</v>
      </c>
    </row>
    <row r="41" spans="1:23" x14ac:dyDescent="0.25">
      <c r="A41" s="73" t="str">
        <f>""&amp;Допущения!$D$38</f>
        <v>Автопылесос беспроводной</v>
      </c>
      <c r="B41" s="28" t="s">
        <v>197</v>
      </c>
      <c r="C41" s="74">
        <f>'Юнит-экономика'!$D$20</f>
        <v>1313.3625333333332</v>
      </c>
      <c r="D41" s="75"/>
      <c r="E41" s="76">
        <f>Допущения!$D$45</f>
        <v>0</v>
      </c>
      <c r="F41" s="76">
        <f t="shared" ref="F41:W41" si="23">E41+F17-F25</f>
        <v>0</v>
      </c>
      <c r="G41" s="76">
        <f t="shared" si="23"/>
        <v>0</v>
      </c>
      <c r="H41" s="76">
        <f t="shared" si="23"/>
        <v>114</v>
      </c>
      <c r="I41" s="76">
        <f t="shared" si="23"/>
        <v>204</v>
      </c>
      <c r="J41" s="76">
        <f t="shared" si="23"/>
        <v>120</v>
      </c>
      <c r="K41" s="76">
        <f t="shared" si="23"/>
        <v>168</v>
      </c>
      <c r="L41" s="76">
        <f t="shared" si="23"/>
        <v>198</v>
      </c>
      <c r="M41" s="76">
        <f t="shared" si="23"/>
        <v>228</v>
      </c>
      <c r="N41" s="76">
        <f t="shared" si="23"/>
        <v>264</v>
      </c>
      <c r="O41" s="76">
        <f t="shared" si="23"/>
        <v>144</v>
      </c>
      <c r="P41" s="76">
        <f t="shared" si="23"/>
        <v>168</v>
      </c>
      <c r="Q41" s="76">
        <f t="shared" si="23"/>
        <v>186</v>
      </c>
      <c r="R41" s="76">
        <f t="shared" si="23"/>
        <v>186</v>
      </c>
      <c r="S41" s="76">
        <f t="shared" si="23"/>
        <v>180</v>
      </c>
      <c r="T41" s="76">
        <f t="shared" si="23"/>
        <v>222</v>
      </c>
      <c r="U41" s="76">
        <f t="shared" si="23"/>
        <v>252</v>
      </c>
      <c r="V41" s="76">
        <f t="shared" si="23"/>
        <v>126</v>
      </c>
      <c r="W41" s="76">
        <f t="shared" si="23"/>
        <v>150</v>
      </c>
    </row>
    <row r="42" spans="1:23" x14ac:dyDescent="0.25">
      <c r="A42" s="73" t="str">
        <f>""&amp;Допущения!$E$38</f>
        <v>Держатель телефона MagSafe</v>
      </c>
      <c r="B42" s="28" t="s">
        <v>197</v>
      </c>
      <c r="C42" s="74">
        <f>'Юнит-экономика'!$E$20</f>
        <v>473.76546666666667</v>
      </c>
      <c r="D42" s="75"/>
      <c r="E42" s="76">
        <f>Допущения!$E$45</f>
        <v>0</v>
      </c>
      <c r="F42" s="76">
        <f t="shared" ref="F42:W42" si="24">E42+F18-F26</f>
        <v>0</v>
      </c>
      <c r="G42" s="76">
        <f t="shared" si="24"/>
        <v>0</v>
      </c>
      <c r="H42" s="76">
        <f t="shared" si="24"/>
        <v>222</v>
      </c>
      <c r="I42" s="76">
        <f t="shared" si="24"/>
        <v>392</v>
      </c>
      <c r="J42" s="76">
        <f t="shared" si="24"/>
        <v>510</v>
      </c>
      <c r="K42" s="76">
        <f t="shared" si="24"/>
        <v>289</v>
      </c>
      <c r="L42" s="76">
        <f t="shared" si="24"/>
        <v>329</v>
      </c>
      <c r="M42" s="76">
        <f t="shared" si="24"/>
        <v>369</v>
      </c>
      <c r="N42" s="76">
        <f t="shared" si="24"/>
        <v>422</v>
      </c>
      <c r="O42" s="76">
        <f t="shared" si="24"/>
        <v>462</v>
      </c>
      <c r="P42" s="76">
        <f t="shared" si="24"/>
        <v>489</v>
      </c>
      <c r="Q42" s="76">
        <f t="shared" si="24"/>
        <v>503</v>
      </c>
      <c r="R42" s="76">
        <f t="shared" si="24"/>
        <v>478</v>
      </c>
      <c r="S42" s="76">
        <f t="shared" si="24"/>
        <v>440</v>
      </c>
      <c r="T42" s="76">
        <f t="shared" si="24"/>
        <v>506</v>
      </c>
      <c r="U42" s="76">
        <f t="shared" si="24"/>
        <v>546</v>
      </c>
      <c r="V42" s="76">
        <f t="shared" si="24"/>
        <v>273</v>
      </c>
      <c r="W42" s="76">
        <f t="shared" si="24"/>
        <v>300</v>
      </c>
    </row>
    <row r="43" spans="1:23" x14ac:dyDescent="0.25">
      <c r="A43" s="73" t="str">
        <f>""&amp;Допущения!$F$38</f>
        <v>Чехлы на сиденья, комплект</v>
      </c>
      <c r="B43" s="28" t="s">
        <v>197</v>
      </c>
      <c r="C43" s="74">
        <f>'Юнит-экономика'!$F$20</f>
        <v>2705.8110000000001</v>
      </c>
      <c r="D43" s="75"/>
      <c r="E43" s="76">
        <f>Допущения!$F$45</f>
        <v>0</v>
      </c>
      <c r="F43" s="76">
        <f t="shared" ref="F43:W43" si="25">E43+F19-F27</f>
        <v>0</v>
      </c>
      <c r="G43" s="76">
        <f t="shared" si="25"/>
        <v>0</v>
      </c>
      <c r="H43" s="76">
        <f t="shared" si="25"/>
        <v>82</v>
      </c>
      <c r="I43" s="76">
        <f t="shared" si="25"/>
        <v>52</v>
      </c>
      <c r="J43" s="76">
        <f t="shared" si="25"/>
        <v>110</v>
      </c>
      <c r="K43" s="76">
        <f t="shared" si="25"/>
        <v>159</v>
      </c>
      <c r="L43" s="76">
        <f t="shared" si="25"/>
        <v>99</v>
      </c>
      <c r="M43" s="76">
        <f t="shared" si="25"/>
        <v>139</v>
      </c>
      <c r="N43" s="76">
        <f t="shared" si="25"/>
        <v>82</v>
      </c>
      <c r="O43" s="76">
        <f t="shared" si="25"/>
        <v>122</v>
      </c>
      <c r="P43" s="76">
        <f t="shared" si="25"/>
        <v>159</v>
      </c>
      <c r="Q43" s="76">
        <f t="shared" si="25"/>
        <v>93</v>
      </c>
      <c r="R43" s="76">
        <f t="shared" si="25"/>
        <v>118</v>
      </c>
      <c r="S43" s="76">
        <f t="shared" si="25"/>
        <v>140</v>
      </c>
      <c r="T43" s="76">
        <f t="shared" si="25"/>
        <v>86</v>
      </c>
      <c r="U43" s="76">
        <f t="shared" si="25"/>
        <v>126</v>
      </c>
      <c r="V43" s="76">
        <f t="shared" si="25"/>
        <v>63</v>
      </c>
      <c r="W43" s="76">
        <f t="shared" si="25"/>
        <v>100</v>
      </c>
    </row>
    <row r="44" spans="1:23" x14ac:dyDescent="0.25">
      <c r="A44" s="73" t="str">
        <f>""&amp;Допущения!$G$38</f>
        <v>Видеорегистратор Wi-Fi</v>
      </c>
      <c r="B44" s="28" t="s">
        <v>197</v>
      </c>
      <c r="C44" s="74">
        <f>'Юнит-экономика'!$G$20</f>
        <v>1710.5291999999999</v>
      </c>
      <c r="D44" s="75"/>
      <c r="E44" s="76">
        <f>Допущения!$G$45</f>
        <v>0</v>
      </c>
      <c r="F44" s="76">
        <f t="shared" ref="F44:W44" si="26">E44+F20-F28</f>
        <v>0</v>
      </c>
      <c r="G44" s="76">
        <f t="shared" si="26"/>
        <v>0</v>
      </c>
      <c r="H44" s="76">
        <f t="shared" si="26"/>
        <v>73</v>
      </c>
      <c r="I44" s="76">
        <f t="shared" si="26"/>
        <v>128</v>
      </c>
      <c r="J44" s="76">
        <f t="shared" si="26"/>
        <v>165</v>
      </c>
      <c r="K44" s="76">
        <f t="shared" si="26"/>
        <v>188</v>
      </c>
      <c r="L44" s="76">
        <f t="shared" si="26"/>
        <v>98</v>
      </c>
      <c r="M44" s="76">
        <f t="shared" si="26"/>
        <v>108</v>
      </c>
      <c r="N44" s="76">
        <f t="shared" si="26"/>
        <v>122</v>
      </c>
      <c r="O44" s="76">
        <f t="shared" si="26"/>
        <v>132</v>
      </c>
      <c r="P44" s="76">
        <f t="shared" si="26"/>
        <v>137</v>
      </c>
      <c r="Q44" s="76">
        <f t="shared" si="26"/>
        <v>138</v>
      </c>
      <c r="R44" s="76">
        <f t="shared" si="26"/>
        <v>125</v>
      </c>
      <c r="S44" s="76">
        <f t="shared" si="26"/>
        <v>108</v>
      </c>
      <c r="T44" s="76">
        <f t="shared" si="26"/>
        <v>127</v>
      </c>
      <c r="U44" s="76">
        <f t="shared" si="26"/>
        <v>137</v>
      </c>
      <c r="V44" s="76">
        <f t="shared" si="26"/>
        <v>142</v>
      </c>
      <c r="W44" s="76">
        <f t="shared" si="26"/>
        <v>147</v>
      </c>
    </row>
    <row r="45" spans="1:23" x14ac:dyDescent="0.25">
      <c r="A45" s="59" t="s">
        <v>32</v>
      </c>
      <c r="B45" s="60" t="s">
        <v>197</v>
      </c>
      <c r="C45" s="77"/>
      <c r="D45" s="75"/>
      <c r="E45" s="75">
        <f t="shared" ref="E45:W45" si="27">SUM(E40:E44)</f>
        <v>0</v>
      </c>
      <c r="F45" s="75">
        <f t="shared" si="27"/>
        <v>0</v>
      </c>
      <c r="G45" s="75">
        <f t="shared" si="27"/>
        <v>0</v>
      </c>
      <c r="H45" s="75">
        <f t="shared" si="27"/>
        <v>649</v>
      </c>
      <c r="I45" s="75">
        <f t="shared" si="27"/>
        <v>1064</v>
      </c>
      <c r="J45" s="75">
        <f t="shared" si="27"/>
        <v>1095</v>
      </c>
      <c r="K45" s="75">
        <f t="shared" si="27"/>
        <v>1075</v>
      </c>
      <c r="L45" s="75">
        <f t="shared" si="27"/>
        <v>1055</v>
      </c>
      <c r="M45" s="75">
        <f t="shared" si="27"/>
        <v>1035</v>
      </c>
      <c r="N45" s="75">
        <f t="shared" si="27"/>
        <v>1148</v>
      </c>
      <c r="O45" s="75">
        <f t="shared" si="27"/>
        <v>1178</v>
      </c>
      <c r="P45" s="75">
        <f t="shared" si="27"/>
        <v>1124</v>
      </c>
      <c r="Q45" s="75">
        <f t="shared" si="27"/>
        <v>1137</v>
      </c>
      <c r="R45" s="75">
        <f t="shared" si="27"/>
        <v>1149</v>
      </c>
      <c r="S45" s="75">
        <f t="shared" si="27"/>
        <v>1128</v>
      </c>
      <c r="T45" s="75">
        <f t="shared" si="27"/>
        <v>1275</v>
      </c>
      <c r="U45" s="75">
        <f t="shared" si="27"/>
        <v>1255</v>
      </c>
      <c r="V45" s="75">
        <f t="shared" si="27"/>
        <v>851</v>
      </c>
      <c r="W45" s="75">
        <f t="shared" si="27"/>
        <v>997</v>
      </c>
    </row>
    <row r="46" spans="1:23" x14ac:dyDescent="0.25">
      <c r="A46" s="59" t="s">
        <v>313</v>
      </c>
      <c r="B46" s="60" t="s">
        <v>108</v>
      </c>
      <c r="C46" s="77"/>
      <c r="D46" s="75"/>
      <c r="E46" s="75">
        <f t="shared" ref="E46:W46" si="28">SUMPRODUCT(E40:E44,$C40:$C44)</f>
        <v>0</v>
      </c>
      <c r="F46" s="75">
        <f t="shared" si="28"/>
        <v>0</v>
      </c>
      <c r="G46" s="75">
        <f t="shared" si="28"/>
        <v>0</v>
      </c>
      <c r="H46" s="75">
        <f t="shared" si="28"/>
        <v>763875.13039999991</v>
      </c>
      <c r="I46" s="75">
        <f t="shared" si="28"/>
        <v>1109003.6477333333</v>
      </c>
      <c r="J46" s="75">
        <f t="shared" si="28"/>
        <v>1174188.0120000001</v>
      </c>
      <c r="K46" s="75">
        <f t="shared" si="28"/>
        <v>1387623.0768666668</v>
      </c>
      <c r="L46" s="75">
        <f t="shared" si="28"/>
        <v>1191284.8915333333</v>
      </c>
      <c r="M46" s="75">
        <f t="shared" si="28"/>
        <v>1231225.3662</v>
      </c>
      <c r="N46" s="75">
        <f t="shared" si="28"/>
        <v>1242126.2145333334</v>
      </c>
      <c r="O46" s="75">
        <f t="shared" si="28"/>
        <v>1290417.6692000001</v>
      </c>
      <c r="P46" s="75">
        <f t="shared" si="28"/>
        <v>1292461.5009999999</v>
      </c>
      <c r="Q46" s="75">
        <f t="shared" si="28"/>
        <v>1193093.4791333333</v>
      </c>
      <c r="R46" s="75">
        <f t="shared" si="28"/>
        <v>1252327.1578666666</v>
      </c>
      <c r="S46" s="75">
        <f t="shared" si="28"/>
        <v>1275374.7229333336</v>
      </c>
      <c r="T46" s="75">
        <f t="shared" si="28"/>
        <v>1324172.2141333334</v>
      </c>
      <c r="U46" s="75">
        <f t="shared" si="28"/>
        <v>1364112.6887999999</v>
      </c>
      <c r="V46" s="75">
        <f t="shared" si="28"/>
        <v>961796.76059999992</v>
      </c>
      <c r="W46" s="75">
        <f t="shared" si="28"/>
        <v>1169195.9524000001</v>
      </c>
    </row>
    <row r="48" spans="1:23" x14ac:dyDescent="0.25">
      <c r="A48" s="25" t="s">
        <v>314</v>
      </c>
      <c r="B48" s="26"/>
      <c r="C48" s="72" t="s">
        <v>315</v>
      </c>
      <c r="D48" s="26"/>
      <c r="E48" s="26"/>
      <c r="F48" s="26"/>
      <c r="G48" s="26"/>
      <c r="H48" s="26"/>
      <c r="I48" s="26"/>
      <c r="J48" s="26"/>
      <c r="K48" s="26"/>
      <c r="L48" s="26"/>
      <c r="M48" s="26"/>
      <c r="N48" s="26"/>
      <c r="O48" s="26"/>
      <c r="P48" s="26"/>
      <c r="Q48" s="26"/>
      <c r="R48" s="26"/>
      <c r="S48" s="26"/>
      <c r="T48" s="26"/>
      <c r="U48" s="26"/>
      <c r="V48" s="26"/>
      <c r="W48" s="26"/>
    </row>
    <row r="49" spans="1:23" x14ac:dyDescent="0.25">
      <c r="A49" s="73" t="str">
        <f>""&amp;Допущения!$C$38</f>
        <v>Органайзер в багажник</v>
      </c>
      <c r="B49" s="28" t="s">
        <v>197</v>
      </c>
      <c r="C49" s="74">
        <f>'Юнит-экономика'!$C$21</f>
        <v>401.45279999999997</v>
      </c>
      <c r="D49" s="75"/>
      <c r="E49" s="76"/>
      <c r="F49" s="76">
        <f>SUMIFS($E$71:E$71,$E$4:E$4,"&gt;"&amp;(F$4-Срок_поставки))</f>
        <v>0</v>
      </c>
      <c r="G49" s="76">
        <f>SUMIFS($E$71:F$71,$E$4:F$4,"&gt;"&amp;(G$4-Срок_поставки))</f>
        <v>200</v>
      </c>
      <c r="H49" s="76">
        <f>SUMIFS($E$71:G$71,$E$4:G$4,"&gt;"&amp;(H$4-Срок_поставки))</f>
        <v>200</v>
      </c>
      <c r="I49" s="76">
        <f>SUMIFS($E$71:H$71,$E$4:H$4,"&gt;"&amp;(I$4-Срок_поставки))</f>
        <v>0</v>
      </c>
      <c r="J49" s="76">
        <f>SUMIFS($E$71:I$71,$E$4:I$4,"&gt;"&amp;(J$4-Срок_поставки))</f>
        <v>200</v>
      </c>
      <c r="K49" s="76">
        <f>SUMIFS($E$71:J$71,$E$4:J$4,"&gt;"&amp;(K$4-Срок_поставки))</f>
        <v>200</v>
      </c>
      <c r="L49" s="76">
        <f>SUMIFS($E$71:K$71,$E$4:K$4,"&gt;"&amp;(L$4-Срок_поставки))</f>
        <v>0</v>
      </c>
      <c r="M49" s="76">
        <f>SUMIFS($E$71:L$71,$E$4:L$4,"&gt;"&amp;(M$4-Срок_поставки))</f>
        <v>200</v>
      </c>
      <c r="N49" s="76">
        <f>SUMIFS($E$71:M$71,$E$4:M$4,"&gt;"&amp;(N$4-Срок_поставки))</f>
        <v>200</v>
      </c>
      <c r="O49" s="76">
        <f>SUMIFS($E$71:N$71,$E$4:N$4,"&gt;"&amp;(O$4-Срок_поставки))</f>
        <v>0</v>
      </c>
      <c r="P49" s="76">
        <f>SUMIFS($E$71:O$71,$E$4:O$4,"&gt;"&amp;(P$4-Срок_поставки))</f>
        <v>200</v>
      </c>
      <c r="Q49" s="76">
        <f>SUMIFS($E$71:P$71,$E$4:P$4,"&gt;"&amp;(Q$4-Срок_поставки))</f>
        <v>200</v>
      </c>
      <c r="R49" s="76">
        <f>SUMIFS($E$71:Q$71,$E$4:Q$4,"&gt;"&amp;(R$4-Срок_поставки))</f>
        <v>200</v>
      </c>
      <c r="S49" s="76">
        <f>SUMIFS($E$71:R$71,$E$4:R$4,"&gt;"&amp;(S$4-Срок_поставки))</f>
        <v>200</v>
      </c>
      <c r="T49" s="76">
        <f>SUMIFS($E$71:S$71,$E$4:S$4,"&gt;"&amp;(T$4-Срок_поставки))</f>
        <v>0</v>
      </c>
      <c r="U49" s="76">
        <f>SUMIFS($E$71:T$71,$E$4:T$4,"&gt;"&amp;(U$4-Срок_поставки))</f>
        <v>200</v>
      </c>
      <c r="V49" s="76">
        <f>SUMIFS($E$71:U$71,$E$4:U$4,"&gt;"&amp;(V$4-Срок_поставки))</f>
        <v>200</v>
      </c>
      <c r="W49" s="76">
        <f>SUMIFS($E$71:V$71,$E$4:V$4,"&gt;"&amp;(W$4-Срок_поставки))</f>
        <v>0</v>
      </c>
    </row>
    <row r="50" spans="1:23" x14ac:dyDescent="0.25">
      <c r="A50" s="73" t="str">
        <f>""&amp;Допущения!$D$38</f>
        <v>Автопылесос беспроводной</v>
      </c>
      <c r="B50" s="28" t="s">
        <v>197</v>
      </c>
      <c r="C50" s="74">
        <f>'Юнит-экономика'!$D$21</f>
        <v>727.63319999999999</v>
      </c>
      <c r="D50" s="75"/>
      <c r="E50" s="76"/>
      <c r="F50" s="76">
        <f>SUMIFS($E$72:E$72,$E$4:E$4,"&gt;"&amp;(F$4-Срок_поставки))</f>
        <v>0</v>
      </c>
      <c r="G50" s="76">
        <f>SUMIFS($E$72:F$72,$E$4:F$4,"&gt;"&amp;(G$4-Срок_поставки))</f>
        <v>150</v>
      </c>
      <c r="H50" s="76">
        <f>SUMIFS($E$72:G$72,$E$4:G$4,"&gt;"&amp;(H$4-Срок_поставки))</f>
        <v>150</v>
      </c>
      <c r="I50" s="76">
        <f>SUMIFS($E$72:H$72,$E$4:H$4,"&gt;"&amp;(I$4-Срок_поставки))</f>
        <v>0</v>
      </c>
      <c r="J50" s="76">
        <f>SUMIFS($E$72:I$72,$E$4:I$4,"&gt;"&amp;(J$4-Срок_поставки))</f>
        <v>150</v>
      </c>
      <c r="K50" s="76">
        <f>SUMIFS($E$72:J$72,$E$4:J$4,"&gt;"&amp;(K$4-Срок_поставки))</f>
        <v>150</v>
      </c>
      <c r="L50" s="76">
        <f>SUMIFS($E$72:K$72,$E$4:K$4,"&gt;"&amp;(L$4-Срок_поставки))</f>
        <v>150</v>
      </c>
      <c r="M50" s="76">
        <f>SUMIFS($E$72:L$72,$E$4:L$4,"&gt;"&amp;(M$4-Срок_поставки))</f>
        <v>150</v>
      </c>
      <c r="N50" s="76">
        <f>SUMIFS($E$72:M$72,$E$4:M$4,"&gt;"&amp;(N$4-Срок_поставки))</f>
        <v>0</v>
      </c>
      <c r="O50" s="76">
        <f>SUMIFS($E$72:N$72,$E$4:N$4,"&gt;"&amp;(O$4-Срок_поставки))</f>
        <v>150</v>
      </c>
      <c r="P50" s="76">
        <f>SUMIFS($E$72:O$72,$E$4:O$4,"&gt;"&amp;(P$4-Срок_поставки))</f>
        <v>150</v>
      </c>
      <c r="Q50" s="76">
        <f>SUMIFS($E$72:P$72,$E$4:P$4,"&gt;"&amp;(Q$4-Срок_поставки))</f>
        <v>150</v>
      </c>
      <c r="R50" s="76">
        <f>SUMIFS($E$72:Q$72,$E$4:Q$4,"&gt;"&amp;(R$4-Срок_поставки))</f>
        <v>150</v>
      </c>
      <c r="S50" s="76">
        <f>SUMIFS($E$72:R$72,$E$4:R$4,"&gt;"&amp;(S$4-Срок_поставки))</f>
        <v>150</v>
      </c>
      <c r="T50" s="76">
        <f>SUMIFS($E$72:S$72,$E$4:S$4,"&gt;"&amp;(T$4-Срок_поставки))</f>
        <v>150</v>
      </c>
      <c r="U50" s="76">
        <f>SUMIFS($E$72:T$72,$E$4:T$4,"&gt;"&amp;(U$4-Срок_поставки))</f>
        <v>0</v>
      </c>
      <c r="V50" s="76">
        <f>SUMIFS($E$72:U$72,$E$4:U$4,"&gt;"&amp;(V$4-Срок_поставки))</f>
        <v>150</v>
      </c>
      <c r="W50" s="76">
        <f>SUMIFS($E$72:V$72,$E$4:V$4,"&gt;"&amp;(W$4-Срок_поставки))</f>
        <v>150</v>
      </c>
    </row>
    <row r="51" spans="1:23" x14ac:dyDescent="0.25">
      <c r="A51" s="73" t="str">
        <f>""&amp;Допущения!$E$38</f>
        <v>Держатель телефона MagSafe</v>
      </c>
      <c r="B51" s="28" t="s">
        <v>197</v>
      </c>
      <c r="C51" s="74">
        <f>'Юнит-экономика'!$E$21</f>
        <v>275.99880000000002</v>
      </c>
      <c r="D51" s="75"/>
      <c r="E51" s="76"/>
      <c r="F51" s="76">
        <f>SUMIFS($E$73:E$73,$E$4:E$4,"&gt;"&amp;(F$4-Срок_поставки))</f>
        <v>0</v>
      </c>
      <c r="G51" s="76">
        <f>SUMIFS($E$73:F$73,$E$4:F$4,"&gt;"&amp;(G$4-Срок_поставки))</f>
        <v>300</v>
      </c>
      <c r="H51" s="76">
        <f>SUMIFS($E$73:G$73,$E$4:G$4,"&gt;"&amp;(H$4-Срок_поставки))</f>
        <v>300</v>
      </c>
      <c r="I51" s="76">
        <f>SUMIFS($E$73:H$73,$E$4:H$4,"&gt;"&amp;(I$4-Срок_поставки))</f>
        <v>300</v>
      </c>
      <c r="J51" s="76">
        <f>SUMIFS($E$73:I$73,$E$4:I$4,"&gt;"&amp;(J$4-Срок_поставки))</f>
        <v>0</v>
      </c>
      <c r="K51" s="76">
        <f>SUMIFS($E$73:J$73,$E$4:J$4,"&gt;"&amp;(K$4-Срок_поставки))</f>
        <v>300</v>
      </c>
      <c r="L51" s="76">
        <f>SUMIFS($E$73:K$73,$E$4:K$4,"&gt;"&amp;(L$4-Срок_поставки))</f>
        <v>300</v>
      </c>
      <c r="M51" s="76">
        <f>SUMIFS($E$73:L$73,$E$4:L$4,"&gt;"&amp;(M$4-Срок_поставки))</f>
        <v>300</v>
      </c>
      <c r="N51" s="76">
        <f>SUMIFS($E$73:M$73,$E$4:M$4,"&gt;"&amp;(N$4-Срок_поставки))</f>
        <v>300</v>
      </c>
      <c r="O51" s="76">
        <f>SUMIFS($E$73:N$73,$E$4:N$4,"&gt;"&amp;(O$4-Срок_поставки))</f>
        <v>300</v>
      </c>
      <c r="P51" s="76">
        <f>SUMIFS($E$73:O$73,$E$4:O$4,"&gt;"&amp;(P$4-Срок_поставки))</f>
        <v>300</v>
      </c>
      <c r="Q51" s="76">
        <f>SUMIFS($E$73:P$73,$E$4:P$4,"&gt;"&amp;(Q$4-Срок_поставки))</f>
        <v>300</v>
      </c>
      <c r="R51" s="76">
        <f>SUMIFS($E$73:Q$73,$E$4:Q$4,"&gt;"&amp;(R$4-Срок_поставки))</f>
        <v>300</v>
      </c>
      <c r="S51" s="76">
        <f>SUMIFS($E$73:R$73,$E$4:R$4,"&gt;"&amp;(S$4-Срок_поставки))</f>
        <v>300</v>
      </c>
      <c r="T51" s="76">
        <f>SUMIFS($E$73:S$73,$E$4:S$4,"&gt;"&amp;(T$4-Срок_поставки))</f>
        <v>300</v>
      </c>
      <c r="U51" s="76">
        <f>SUMIFS($E$73:T$73,$E$4:T$4,"&gt;"&amp;(U$4-Срок_поставки))</f>
        <v>0</v>
      </c>
      <c r="V51" s="76">
        <f>SUMIFS($E$73:U$73,$E$4:U$4,"&gt;"&amp;(V$4-Срок_поставки))</f>
        <v>300</v>
      </c>
      <c r="W51" s="76">
        <f>SUMIFS($E$73:V$73,$E$4:V$4,"&gt;"&amp;(W$4-Срок_поставки))</f>
        <v>300</v>
      </c>
    </row>
    <row r="52" spans="1:23" x14ac:dyDescent="0.25">
      <c r="A52" s="73" t="str">
        <f>""&amp;Допущения!$F$38</f>
        <v>Чехлы на сиденья, комплект</v>
      </c>
      <c r="B52" s="28" t="s">
        <v>197</v>
      </c>
      <c r="C52" s="74">
        <f>'Юнит-экономика'!$F$21</f>
        <v>1317.2670000000001</v>
      </c>
      <c r="D52" s="75"/>
      <c r="E52" s="76"/>
      <c r="F52" s="76">
        <f>SUMIFS($E$74:E$74,$E$4:E$4,"&gt;"&amp;(F$4-Срок_поставки))</f>
        <v>0</v>
      </c>
      <c r="G52" s="76">
        <f>SUMIFS($E$74:F$74,$E$4:F$4,"&gt;"&amp;(G$4-Срок_поставки))</f>
        <v>100</v>
      </c>
      <c r="H52" s="76">
        <f>SUMIFS($E$74:G$74,$E$4:G$4,"&gt;"&amp;(H$4-Срок_поставки))</f>
        <v>0</v>
      </c>
      <c r="I52" s="76">
        <f>SUMIFS($E$74:H$74,$E$4:H$4,"&gt;"&amp;(I$4-Срок_поставки))</f>
        <v>100</v>
      </c>
      <c r="J52" s="76">
        <f>SUMIFS($E$74:I$74,$E$4:I$4,"&gt;"&amp;(J$4-Срок_поставки))</f>
        <v>100</v>
      </c>
      <c r="K52" s="76">
        <f>SUMIFS($E$74:J$74,$E$4:J$4,"&gt;"&amp;(K$4-Срок_поставки))</f>
        <v>0</v>
      </c>
      <c r="L52" s="76">
        <f>SUMIFS($E$74:K$74,$E$4:K$4,"&gt;"&amp;(L$4-Срок_поставки))</f>
        <v>100</v>
      </c>
      <c r="M52" s="76">
        <f>SUMIFS($E$74:L$74,$E$4:L$4,"&gt;"&amp;(M$4-Срок_поставки))</f>
        <v>0</v>
      </c>
      <c r="N52" s="76">
        <f>SUMIFS($E$74:M$74,$E$4:M$4,"&gt;"&amp;(N$4-Срок_поставки))</f>
        <v>100</v>
      </c>
      <c r="O52" s="76">
        <f>SUMIFS($E$74:N$74,$E$4:N$4,"&gt;"&amp;(O$4-Срок_поставки))</f>
        <v>100</v>
      </c>
      <c r="P52" s="76">
        <f>SUMIFS($E$74:O$74,$E$4:O$4,"&gt;"&amp;(P$4-Срок_поставки))</f>
        <v>0</v>
      </c>
      <c r="Q52" s="76">
        <f>SUMIFS($E$74:P$74,$E$4:P$4,"&gt;"&amp;(Q$4-Срок_поставки))</f>
        <v>100</v>
      </c>
      <c r="R52" s="76">
        <f>SUMIFS($E$74:Q$74,$E$4:Q$4,"&gt;"&amp;(R$4-Срок_поставки))</f>
        <v>100</v>
      </c>
      <c r="S52" s="76">
        <f>SUMIFS($E$74:R$74,$E$4:R$4,"&gt;"&amp;(S$4-Срок_поставки))</f>
        <v>0</v>
      </c>
      <c r="T52" s="76">
        <f>SUMIFS($E$74:S$74,$E$4:S$4,"&gt;"&amp;(T$4-Срок_поставки))</f>
        <v>100</v>
      </c>
      <c r="U52" s="76">
        <f>SUMIFS($E$74:T$74,$E$4:T$4,"&gt;"&amp;(U$4-Срок_поставки))</f>
        <v>0</v>
      </c>
      <c r="V52" s="76">
        <f>SUMIFS($E$74:U$74,$E$4:U$4,"&gt;"&amp;(V$4-Срок_поставки))</f>
        <v>100</v>
      </c>
      <c r="W52" s="76">
        <f>SUMIFS($E$74:V$74,$E$4:V$4,"&gt;"&amp;(W$4-Срок_поставки))</f>
        <v>100</v>
      </c>
    </row>
    <row r="53" spans="1:23" x14ac:dyDescent="0.25">
      <c r="A53" s="73" t="str">
        <f>""&amp;Допущения!$G$38</f>
        <v>Видеорегистратор Wi-Fi</v>
      </c>
      <c r="B53" s="28" t="s">
        <v>197</v>
      </c>
      <c r="C53" s="74">
        <f>'Юнит-экономика'!$G$21</f>
        <v>1229.4492</v>
      </c>
      <c r="D53" s="75"/>
      <c r="E53" s="76"/>
      <c r="F53" s="76">
        <f>SUMIFS($E$75:E$75,$E$4:E$4,"&gt;"&amp;(F$4-Срок_поставки))</f>
        <v>0</v>
      </c>
      <c r="G53" s="76">
        <f>SUMIFS($E$75:F$75,$E$4:F$4,"&gt;"&amp;(G$4-Срок_поставки))</f>
        <v>100</v>
      </c>
      <c r="H53" s="76">
        <f>SUMIFS($E$75:G$75,$E$4:G$4,"&gt;"&amp;(H$4-Срок_поставки))</f>
        <v>100</v>
      </c>
      <c r="I53" s="76">
        <f>SUMIFS($E$75:H$75,$E$4:H$4,"&gt;"&amp;(I$4-Срок_поставки))</f>
        <v>100</v>
      </c>
      <c r="J53" s="76">
        <f>SUMIFS($E$75:I$75,$E$4:I$4,"&gt;"&amp;(J$4-Срок_поставки))</f>
        <v>100</v>
      </c>
      <c r="K53" s="76">
        <f>SUMIFS($E$75:J$75,$E$4:J$4,"&gt;"&amp;(K$4-Срок_поставки))</f>
        <v>0</v>
      </c>
      <c r="L53" s="76">
        <f>SUMIFS($E$75:K$75,$E$4:K$4,"&gt;"&amp;(L$4-Срок_поставки))</f>
        <v>100</v>
      </c>
      <c r="M53" s="76">
        <f>SUMIFS($E$75:L$75,$E$4:L$4,"&gt;"&amp;(M$4-Срок_поставки))</f>
        <v>100</v>
      </c>
      <c r="N53" s="76">
        <f>SUMIFS($E$75:M$75,$E$4:M$4,"&gt;"&amp;(N$4-Срок_поставки))</f>
        <v>100</v>
      </c>
      <c r="O53" s="76">
        <f>SUMIFS($E$75:N$75,$E$4:N$4,"&gt;"&amp;(O$4-Срок_поставки))</f>
        <v>100</v>
      </c>
      <c r="P53" s="76">
        <f>SUMIFS($E$75:O$75,$E$4:O$4,"&gt;"&amp;(P$4-Срок_поставки))</f>
        <v>100</v>
      </c>
      <c r="Q53" s="76">
        <f>SUMIFS($E$75:P$75,$E$4:P$4,"&gt;"&amp;(Q$4-Срок_поставки))</f>
        <v>100</v>
      </c>
      <c r="R53" s="76">
        <f>SUMIFS($E$75:Q$75,$E$4:Q$4,"&gt;"&amp;(R$4-Срок_поставки))</f>
        <v>100</v>
      </c>
      <c r="S53" s="76">
        <f>SUMIFS($E$75:R$75,$E$4:R$4,"&gt;"&amp;(S$4-Срок_поставки))</f>
        <v>100</v>
      </c>
      <c r="T53" s="76">
        <f>SUMIFS($E$75:S$75,$E$4:S$4,"&gt;"&amp;(T$4-Срок_поставки))</f>
        <v>100</v>
      </c>
      <c r="U53" s="76">
        <f>SUMIFS($E$75:T$75,$E$4:T$4,"&gt;"&amp;(U$4-Срок_поставки))</f>
        <v>100</v>
      </c>
      <c r="V53" s="76">
        <f>SUMIFS($E$75:U$75,$E$4:U$4,"&gt;"&amp;(V$4-Срок_поставки))</f>
        <v>100</v>
      </c>
      <c r="W53" s="76">
        <f>SUMIFS($E$75:V$75,$E$4:V$4,"&gt;"&amp;(W$4-Срок_поставки))</f>
        <v>100</v>
      </c>
    </row>
    <row r="54" spans="1:23" x14ac:dyDescent="0.25">
      <c r="A54" s="59" t="s">
        <v>32</v>
      </c>
      <c r="B54" s="60" t="s">
        <v>197</v>
      </c>
      <c r="C54" s="77"/>
      <c r="D54" s="75"/>
      <c r="E54" s="75"/>
      <c r="F54" s="75">
        <f t="shared" ref="F54:W54" si="29">SUM(F49:F53)</f>
        <v>0</v>
      </c>
      <c r="G54" s="75">
        <f t="shared" si="29"/>
        <v>850</v>
      </c>
      <c r="H54" s="75">
        <f t="shared" si="29"/>
        <v>750</v>
      </c>
      <c r="I54" s="75">
        <f t="shared" si="29"/>
        <v>500</v>
      </c>
      <c r="J54" s="75">
        <f t="shared" si="29"/>
        <v>550</v>
      </c>
      <c r="K54" s="75">
        <f t="shared" si="29"/>
        <v>650</v>
      </c>
      <c r="L54" s="75">
        <f t="shared" si="29"/>
        <v>650</v>
      </c>
      <c r="M54" s="75">
        <f t="shared" si="29"/>
        <v>750</v>
      </c>
      <c r="N54" s="75">
        <f t="shared" si="29"/>
        <v>700</v>
      </c>
      <c r="O54" s="75">
        <f t="shared" si="29"/>
        <v>650</v>
      </c>
      <c r="P54" s="75">
        <f t="shared" si="29"/>
        <v>750</v>
      </c>
      <c r="Q54" s="75">
        <f t="shared" si="29"/>
        <v>850</v>
      </c>
      <c r="R54" s="75">
        <f t="shared" si="29"/>
        <v>850</v>
      </c>
      <c r="S54" s="75">
        <f t="shared" si="29"/>
        <v>750</v>
      </c>
      <c r="T54" s="75">
        <f t="shared" si="29"/>
        <v>650</v>
      </c>
      <c r="U54" s="75">
        <f t="shared" si="29"/>
        <v>300</v>
      </c>
      <c r="V54" s="75">
        <f t="shared" si="29"/>
        <v>850</v>
      </c>
      <c r="W54" s="75">
        <f t="shared" si="29"/>
        <v>650</v>
      </c>
    </row>
    <row r="56" spans="1:23" x14ac:dyDescent="0.25">
      <c r="A56" s="25" t="s">
        <v>316</v>
      </c>
      <c r="B56" s="26"/>
      <c r="C56" s="72"/>
      <c r="D56" s="26"/>
      <c r="E56" s="26"/>
      <c r="F56" s="26"/>
      <c r="G56" s="26"/>
      <c r="H56" s="26"/>
      <c r="I56" s="26"/>
      <c r="J56" s="26"/>
      <c r="K56" s="26"/>
      <c r="L56" s="26"/>
      <c r="M56" s="26"/>
      <c r="N56" s="26"/>
      <c r="O56" s="26"/>
      <c r="P56" s="26"/>
      <c r="Q56" s="26"/>
      <c r="R56" s="26"/>
      <c r="S56" s="26"/>
      <c r="T56" s="26"/>
      <c r="U56" s="26"/>
      <c r="V56" s="26"/>
      <c r="W56" s="26"/>
    </row>
    <row r="57" spans="1:23" x14ac:dyDescent="0.25">
      <c r="A57" s="73" t="str">
        <f>""&amp;Допущения!$C$38</f>
        <v>Органайзер в багажник</v>
      </c>
      <c r="B57" s="28" t="s">
        <v>197</v>
      </c>
      <c r="C57" s="74"/>
      <c r="D57" s="75"/>
      <c r="E57" s="76"/>
      <c r="F57" s="76">
        <f t="shared" ref="F57:W57" si="30">SUMIFS($F8:$W8,$F$4:$W$4,"&gt;"&amp;F$4,$F$4:$W$4,"&lt;="&amp;(F$4+Срок_поставки+Страх_запас))+MAX(0,F$4+Срок_поставки+Страх_запас-$W$4)*$W8</f>
        <v>112</v>
      </c>
      <c r="G57" s="76">
        <f t="shared" si="30"/>
        <v>210</v>
      </c>
      <c r="H57" s="76">
        <f t="shared" si="30"/>
        <v>287</v>
      </c>
      <c r="I57" s="76">
        <f t="shared" si="30"/>
        <v>357</v>
      </c>
      <c r="J57" s="76">
        <f t="shared" si="30"/>
        <v>399</v>
      </c>
      <c r="K57" s="76">
        <f t="shared" si="30"/>
        <v>413</v>
      </c>
      <c r="L57" s="76">
        <f t="shared" si="30"/>
        <v>413</v>
      </c>
      <c r="M57" s="76">
        <f t="shared" si="30"/>
        <v>420</v>
      </c>
      <c r="N57" s="76">
        <f t="shared" si="30"/>
        <v>441</v>
      </c>
      <c r="O57" s="76">
        <f t="shared" si="30"/>
        <v>476</v>
      </c>
      <c r="P57" s="76">
        <f t="shared" si="30"/>
        <v>511</v>
      </c>
      <c r="Q57" s="76">
        <f t="shared" si="30"/>
        <v>483</v>
      </c>
      <c r="R57" s="76">
        <f t="shared" si="30"/>
        <v>448</v>
      </c>
      <c r="S57" s="76">
        <f t="shared" si="30"/>
        <v>413</v>
      </c>
      <c r="T57" s="76">
        <f t="shared" si="30"/>
        <v>434</v>
      </c>
      <c r="U57" s="76">
        <f t="shared" si="30"/>
        <v>441</v>
      </c>
      <c r="V57" s="76">
        <f t="shared" si="30"/>
        <v>441</v>
      </c>
      <c r="W57" s="76">
        <f t="shared" si="30"/>
        <v>441</v>
      </c>
    </row>
    <row r="58" spans="1:23" x14ac:dyDescent="0.25">
      <c r="A58" s="73" t="str">
        <f>""&amp;Допущения!$D$38</f>
        <v>Автопылесос беспроводной</v>
      </c>
      <c r="B58" s="28" t="s">
        <v>197</v>
      </c>
      <c r="C58" s="74"/>
      <c r="D58" s="75"/>
      <c r="E58" s="76"/>
      <c r="F58" s="76">
        <f t="shared" ref="F58:W58" si="31">SUMIFS($F9:$W9,$F$4:$W$4,"&gt;"&amp;F$4,$F$4:$W$4,"&lt;="&amp;(F$4+Срок_поставки+Страх_запас))+MAX(0,F$4+Срок_поставки+Страх_запас-$W$4)*$W9</f>
        <v>96</v>
      </c>
      <c r="G58" s="76">
        <f t="shared" si="31"/>
        <v>180</v>
      </c>
      <c r="H58" s="76">
        <f t="shared" si="31"/>
        <v>246</v>
      </c>
      <c r="I58" s="76">
        <f t="shared" si="31"/>
        <v>306</v>
      </c>
      <c r="J58" s="76">
        <f t="shared" si="31"/>
        <v>342</v>
      </c>
      <c r="K58" s="76">
        <f t="shared" si="31"/>
        <v>354</v>
      </c>
      <c r="L58" s="76">
        <f t="shared" si="31"/>
        <v>354</v>
      </c>
      <c r="M58" s="76">
        <f t="shared" si="31"/>
        <v>360</v>
      </c>
      <c r="N58" s="76">
        <f t="shared" si="31"/>
        <v>378</v>
      </c>
      <c r="O58" s="76">
        <f t="shared" si="31"/>
        <v>408</v>
      </c>
      <c r="P58" s="76">
        <f t="shared" si="31"/>
        <v>438</v>
      </c>
      <c r="Q58" s="76">
        <f t="shared" si="31"/>
        <v>414</v>
      </c>
      <c r="R58" s="76">
        <f t="shared" si="31"/>
        <v>384</v>
      </c>
      <c r="S58" s="76">
        <f t="shared" si="31"/>
        <v>354</v>
      </c>
      <c r="T58" s="76">
        <f t="shared" si="31"/>
        <v>372</v>
      </c>
      <c r="U58" s="76">
        <f t="shared" si="31"/>
        <v>378</v>
      </c>
      <c r="V58" s="76">
        <f t="shared" si="31"/>
        <v>378</v>
      </c>
      <c r="W58" s="76">
        <f t="shared" si="31"/>
        <v>378</v>
      </c>
    </row>
    <row r="59" spans="1:23" x14ac:dyDescent="0.25">
      <c r="A59" s="73" t="str">
        <f>""&amp;Допущения!$E$38</f>
        <v>Держатель телефона MagSafe</v>
      </c>
      <c r="B59" s="28" t="s">
        <v>197</v>
      </c>
      <c r="C59" s="74"/>
      <c r="D59" s="75"/>
      <c r="E59" s="76"/>
      <c r="F59" s="76">
        <f t="shared" ref="F59:W59" si="32">SUMIFS($F10:$W10,$F$4:$W$4,"&gt;"&amp;F$4,$F$4:$W$4,"&lt;="&amp;(F$4+Срок_поставки+Страх_запас))+MAX(0,F$4+Срок_поставки+Страх_запас-$W$4)*$W10</f>
        <v>208</v>
      </c>
      <c r="G59" s="76">
        <f t="shared" si="32"/>
        <v>390</v>
      </c>
      <c r="H59" s="76">
        <f t="shared" si="32"/>
        <v>533</v>
      </c>
      <c r="I59" s="76">
        <f t="shared" si="32"/>
        <v>663</v>
      </c>
      <c r="J59" s="76">
        <f t="shared" si="32"/>
        <v>741</v>
      </c>
      <c r="K59" s="76">
        <f t="shared" si="32"/>
        <v>767</v>
      </c>
      <c r="L59" s="76">
        <f t="shared" si="32"/>
        <v>767</v>
      </c>
      <c r="M59" s="76">
        <f t="shared" si="32"/>
        <v>780</v>
      </c>
      <c r="N59" s="76">
        <f t="shared" si="32"/>
        <v>819</v>
      </c>
      <c r="O59" s="76">
        <f t="shared" si="32"/>
        <v>884</v>
      </c>
      <c r="P59" s="76">
        <f t="shared" si="32"/>
        <v>949</v>
      </c>
      <c r="Q59" s="76">
        <f t="shared" si="32"/>
        <v>897</v>
      </c>
      <c r="R59" s="76">
        <f t="shared" si="32"/>
        <v>832</v>
      </c>
      <c r="S59" s="76">
        <f t="shared" si="32"/>
        <v>767</v>
      </c>
      <c r="T59" s="76">
        <f t="shared" si="32"/>
        <v>806</v>
      </c>
      <c r="U59" s="76">
        <f t="shared" si="32"/>
        <v>819</v>
      </c>
      <c r="V59" s="76">
        <f t="shared" si="32"/>
        <v>819</v>
      </c>
      <c r="W59" s="76">
        <f t="shared" si="32"/>
        <v>819</v>
      </c>
    </row>
    <row r="60" spans="1:23" x14ac:dyDescent="0.25">
      <c r="A60" s="73" t="str">
        <f>""&amp;Допущения!$F$38</f>
        <v>Чехлы на сиденья, комплект</v>
      </c>
      <c r="B60" s="28" t="s">
        <v>197</v>
      </c>
      <c r="C60" s="74"/>
      <c r="D60" s="75"/>
      <c r="E60" s="76"/>
      <c r="F60" s="76">
        <f t="shared" ref="F60:W60" si="33">SUMIFS($F11:$W11,$F$4:$W$4,"&gt;"&amp;F$4,$F$4:$W$4,"&lt;="&amp;(F$4+Срок_поставки+Страх_запас))+MAX(0,F$4+Срок_поставки+Страх_запас-$W$4)*$W11</f>
        <v>48</v>
      </c>
      <c r="G60" s="76">
        <f t="shared" si="33"/>
        <v>90</v>
      </c>
      <c r="H60" s="76">
        <f t="shared" si="33"/>
        <v>123</v>
      </c>
      <c r="I60" s="76">
        <f t="shared" si="33"/>
        <v>153</v>
      </c>
      <c r="J60" s="76">
        <f t="shared" si="33"/>
        <v>171</v>
      </c>
      <c r="K60" s="76">
        <f t="shared" si="33"/>
        <v>177</v>
      </c>
      <c r="L60" s="76">
        <f t="shared" si="33"/>
        <v>177</v>
      </c>
      <c r="M60" s="76">
        <f t="shared" si="33"/>
        <v>180</v>
      </c>
      <c r="N60" s="76">
        <f t="shared" si="33"/>
        <v>189</v>
      </c>
      <c r="O60" s="76">
        <f t="shared" si="33"/>
        <v>204</v>
      </c>
      <c r="P60" s="76">
        <f t="shared" si="33"/>
        <v>219</v>
      </c>
      <c r="Q60" s="76">
        <f t="shared" si="33"/>
        <v>207</v>
      </c>
      <c r="R60" s="76">
        <f t="shared" si="33"/>
        <v>192</v>
      </c>
      <c r="S60" s="76">
        <f t="shared" si="33"/>
        <v>177</v>
      </c>
      <c r="T60" s="76">
        <f t="shared" si="33"/>
        <v>186</v>
      </c>
      <c r="U60" s="76">
        <f t="shared" si="33"/>
        <v>189</v>
      </c>
      <c r="V60" s="76">
        <f t="shared" si="33"/>
        <v>189</v>
      </c>
      <c r="W60" s="76">
        <f t="shared" si="33"/>
        <v>189</v>
      </c>
    </row>
    <row r="61" spans="1:23" x14ac:dyDescent="0.25">
      <c r="A61" s="73" t="str">
        <f>""&amp;Допущения!$G$38</f>
        <v>Видеорегистратор Wi-Fi</v>
      </c>
      <c r="B61" s="28" t="s">
        <v>197</v>
      </c>
      <c r="C61" s="74"/>
      <c r="D61" s="75"/>
      <c r="E61" s="76"/>
      <c r="F61" s="76">
        <f t="shared" ref="F61:W61" si="34">SUMIFS($F12:$W12,$F$4:$W$4,"&gt;"&amp;F$4,$F$4:$W$4,"&lt;="&amp;(F$4+Срок_поставки+Страх_запас))+MAX(0,F$4+Срок_поставки+Страх_запас-$W$4)*$W12</f>
        <v>72</v>
      </c>
      <c r="G61" s="76">
        <f t="shared" si="34"/>
        <v>135</v>
      </c>
      <c r="H61" s="76">
        <f t="shared" si="34"/>
        <v>185</v>
      </c>
      <c r="I61" s="76">
        <f t="shared" si="34"/>
        <v>230</v>
      </c>
      <c r="J61" s="76">
        <f t="shared" si="34"/>
        <v>257</v>
      </c>
      <c r="K61" s="76">
        <f t="shared" si="34"/>
        <v>266</v>
      </c>
      <c r="L61" s="76">
        <f t="shared" si="34"/>
        <v>266</v>
      </c>
      <c r="M61" s="76">
        <f t="shared" si="34"/>
        <v>271</v>
      </c>
      <c r="N61" s="76">
        <f t="shared" si="34"/>
        <v>284</v>
      </c>
      <c r="O61" s="76">
        <f t="shared" si="34"/>
        <v>307</v>
      </c>
      <c r="P61" s="76">
        <f t="shared" si="34"/>
        <v>329</v>
      </c>
      <c r="Q61" s="76">
        <f t="shared" si="34"/>
        <v>311</v>
      </c>
      <c r="R61" s="76">
        <f t="shared" si="34"/>
        <v>288</v>
      </c>
      <c r="S61" s="76">
        <f t="shared" si="34"/>
        <v>266</v>
      </c>
      <c r="T61" s="76">
        <f t="shared" si="34"/>
        <v>280</v>
      </c>
      <c r="U61" s="76">
        <f t="shared" si="34"/>
        <v>285</v>
      </c>
      <c r="V61" s="76">
        <f t="shared" si="34"/>
        <v>285</v>
      </c>
      <c r="W61" s="76">
        <f t="shared" si="34"/>
        <v>285</v>
      </c>
    </row>
    <row r="63" spans="1:23" x14ac:dyDescent="0.25">
      <c r="A63" s="25" t="s">
        <v>317</v>
      </c>
      <c r="B63" s="26"/>
      <c r="C63" s="72" t="s">
        <v>318</v>
      </c>
      <c r="D63" s="26"/>
      <c r="E63" s="26"/>
      <c r="F63" s="26"/>
      <c r="G63" s="26"/>
      <c r="H63" s="26"/>
      <c r="I63" s="26"/>
      <c r="J63" s="26"/>
      <c r="K63" s="26"/>
      <c r="L63" s="26"/>
      <c r="M63" s="26"/>
      <c r="N63" s="26"/>
      <c r="O63" s="26"/>
      <c r="P63" s="26"/>
      <c r="Q63" s="26"/>
      <c r="R63" s="26"/>
      <c r="S63" s="26"/>
      <c r="T63" s="26"/>
      <c r="U63" s="26"/>
      <c r="V63" s="26"/>
      <c r="W63" s="26"/>
    </row>
    <row r="64" spans="1:23" x14ac:dyDescent="0.25">
      <c r="A64" s="73" t="str">
        <f>""&amp;Допущения!$C$38</f>
        <v>Органайзер в багажник</v>
      </c>
      <c r="B64" s="28" t="s">
        <v>319</v>
      </c>
      <c r="C64" s="74">
        <f>Допущения!$C$42</f>
        <v>200</v>
      </c>
      <c r="D64" s="75">
        <f>SUM(F64:W64)</f>
        <v>13</v>
      </c>
      <c r="E64" s="76"/>
      <c r="F64" s="76">
        <f t="shared" ref="F64:W64" si="35">IF(F57-F40-F49&gt;0,ROUNDUP((F57-F40-F49)/$C64,0),0)</f>
        <v>1</v>
      </c>
      <c r="G64" s="76">
        <f t="shared" si="35"/>
        <v>1</v>
      </c>
      <c r="H64" s="76">
        <f t="shared" si="35"/>
        <v>0</v>
      </c>
      <c r="I64" s="76">
        <f t="shared" si="35"/>
        <v>1</v>
      </c>
      <c r="J64" s="76">
        <f t="shared" si="35"/>
        <v>1</v>
      </c>
      <c r="K64" s="76">
        <f t="shared" si="35"/>
        <v>0</v>
      </c>
      <c r="L64" s="76">
        <f t="shared" si="35"/>
        <v>1</v>
      </c>
      <c r="M64" s="76">
        <f t="shared" si="35"/>
        <v>1</v>
      </c>
      <c r="N64" s="76">
        <f t="shared" si="35"/>
        <v>0</v>
      </c>
      <c r="O64" s="76">
        <f t="shared" si="35"/>
        <v>1</v>
      </c>
      <c r="P64" s="76">
        <f t="shared" si="35"/>
        <v>1</v>
      </c>
      <c r="Q64" s="76">
        <f t="shared" si="35"/>
        <v>1</v>
      </c>
      <c r="R64" s="76">
        <f t="shared" si="35"/>
        <v>1</v>
      </c>
      <c r="S64" s="76">
        <f t="shared" si="35"/>
        <v>0</v>
      </c>
      <c r="T64" s="76">
        <f t="shared" si="35"/>
        <v>1</v>
      </c>
      <c r="U64" s="76">
        <f t="shared" si="35"/>
        <v>1</v>
      </c>
      <c r="V64" s="76">
        <f t="shared" si="35"/>
        <v>0</v>
      </c>
      <c r="W64" s="76">
        <f t="shared" si="35"/>
        <v>1</v>
      </c>
    </row>
    <row r="65" spans="1:23" x14ac:dyDescent="0.25">
      <c r="A65" s="73" t="str">
        <f>""&amp;Допущения!$D$38</f>
        <v>Автопылесос беспроводной</v>
      </c>
      <c r="B65" s="28" t="s">
        <v>319</v>
      </c>
      <c r="C65" s="74">
        <f>Допущения!$D$42</f>
        <v>150</v>
      </c>
      <c r="D65" s="75">
        <f>SUM(F65:W65)</f>
        <v>15</v>
      </c>
      <c r="E65" s="76"/>
      <c r="F65" s="76">
        <f t="shared" ref="F65:W65" si="36">IF(F58-F41-F50&gt;0,ROUNDUP((F58-F41-F50)/$C65,0),0)</f>
        <v>1</v>
      </c>
      <c r="G65" s="76">
        <f t="shared" si="36"/>
        <v>1</v>
      </c>
      <c r="H65" s="76">
        <f t="shared" si="36"/>
        <v>0</v>
      </c>
      <c r="I65" s="76">
        <f t="shared" si="36"/>
        <v>1</v>
      </c>
      <c r="J65" s="76">
        <f t="shared" si="36"/>
        <v>1</v>
      </c>
      <c r="K65" s="76">
        <f t="shared" si="36"/>
        <v>1</v>
      </c>
      <c r="L65" s="76">
        <f t="shared" si="36"/>
        <v>1</v>
      </c>
      <c r="M65" s="76">
        <f t="shared" si="36"/>
        <v>0</v>
      </c>
      <c r="N65" s="76">
        <f t="shared" si="36"/>
        <v>1</v>
      </c>
      <c r="O65" s="76">
        <f t="shared" si="36"/>
        <v>1</v>
      </c>
      <c r="P65" s="76">
        <f t="shared" si="36"/>
        <v>1</v>
      </c>
      <c r="Q65" s="76">
        <f t="shared" si="36"/>
        <v>1</v>
      </c>
      <c r="R65" s="76">
        <f t="shared" si="36"/>
        <v>1</v>
      </c>
      <c r="S65" s="76">
        <f t="shared" si="36"/>
        <v>1</v>
      </c>
      <c r="T65" s="76">
        <f t="shared" si="36"/>
        <v>0</v>
      </c>
      <c r="U65" s="76">
        <f t="shared" si="36"/>
        <v>1</v>
      </c>
      <c r="V65" s="76">
        <f t="shared" si="36"/>
        <v>1</v>
      </c>
      <c r="W65" s="76">
        <f t="shared" si="36"/>
        <v>1</v>
      </c>
    </row>
    <row r="66" spans="1:23" x14ac:dyDescent="0.25">
      <c r="A66" s="73" t="str">
        <f>""&amp;Допущения!$E$38</f>
        <v>Держатель телефона MagSafe</v>
      </c>
      <c r="B66" s="28" t="s">
        <v>319</v>
      </c>
      <c r="C66" s="74">
        <f>Допущения!$E$42</f>
        <v>300</v>
      </c>
      <c r="D66" s="75">
        <f>SUM(F66:W66)</f>
        <v>16</v>
      </c>
      <c r="E66" s="76"/>
      <c r="F66" s="76">
        <f t="shared" ref="F66:W66" si="37">IF(F59-F42-F51&gt;0,ROUNDUP((F59-F42-F51)/$C66,0),0)</f>
        <v>1</v>
      </c>
      <c r="G66" s="76">
        <f t="shared" si="37"/>
        <v>1</v>
      </c>
      <c r="H66" s="76">
        <f t="shared" si="37"/>
        <v>1</v>
      </c>
      <c r="I66" s="76">
        <f t="shared" si="37"/>
        <v>0</v>
      </c>
      <c r="J66" s="76">
        <f t="shared" si="37"/>
        <v>1</v>
      </c>
      <c r="K66" s="76">
        <f t="shared" si="37"/>
        <v>1</v>
      </c>
      <c r="L66" s="76">
        <f t="shared" si="37"/>
        <v>1</v>
      </c>
      <c r="M66" s="76">
        <f t="shared" si="37"/>
        <v>1</v>
      </c>
      <c r="N66" s="76">
        <f t="shared" si="37"/>
        <v>1</v>
      </c>
      <c r="O66" s="76">
        <f t="shared" si="37"/>
        <v>1</v>
      </c>
      <c r="P66" s="76">
        <f t="shared" si="37"/>
        <v>1</v>
      </c>
      <c r="Q66" s="76">
        <f t="shared" si="37"/>
        <v>1</v>
      </c>
      <c r="R66" s="76">
        <f t="shared" si="37"/>
        <v>1</v>
      </c>
      <c r="S66" s="76">
        <f t="shared" si="37"/>
        <v>1</v>
      </c>
      <c r="T66" s="76">
        <f t="shared" si="37"/>
        <v>0</v>
      </c>
      <c r="U66" s="76">
        <f t="shared" si="37"/>
        <v>1</v>
      </c>
      <c r="V66" s="76">
        <f t="shared" si="37"/>
        <v>1</v>
      </c>
      <c r="W66" s="76">
        <f t="shared" si="37"/>
        <v>1</v>
      </c>
    </row>
    <row r="67" spans="1:23" x14ac:dyDescent="0.25">
      <c r="A67" s="73" t="str">
        <f>""&amp;Допущения!$F$38</f>
        <v>Чехлы на сиденья, комплект</v>
      </c>
      <c r="B67" s="28" t="s">
        <v>319</v>
      </c>
      <c r="C67" s="74">
        <f>Допущения!$F$42</f>
        <v>100</v>
      </c>
      <c r="D67" s="75">
        <f>SUM(F67:W67)</f>
        <v>11</v>
      </c>
      <c r="E67" s="76"/>
      <c r="F67" s="76">
        <f t="shared" ref="F67:W67" si="38">IF(F60-F43-F52&gt;0,ROUNDUP((F60-F43-F52)/$C67,0),0)</f>
        <v>1</v>
      </c>
      <c r="G67" s="76">
        <f t="shared" si="38"/>
        <v>0</v>
      </c>
      <c r="H67" s="76">
        <f t="shared" si="38"/>
        <v>1</v>
      </c>
      <c r="I67" s="76">
        <f t="shared" si="38"/>
        <v>1</v>
      </c>
      <c r="J67" s="76">
        <f t="shared" si="38"/>
        <v>0</v>
      </c>
      <c r="K67" s="76">
        <f t="shared" si="38"/>
        <v>1</v>
      </c>
      <c r="L67" s="76">
        <f t="shared" si="38"/>
        <v>0</v>
      </c>
      <c r="M67" s="76">
        <f t="shared" si="38"/>
        <v>1</v>
      </c>
      <c r="N67" s="76">
        <f t="shared" si="38"/>
        <v>1</v>
      </c>
      <c r="O67" s="76">
        <f t="shared" si="38"/>
        <v>0</v>
      </c>
      <c r="P67" s="76">
        <f t="shared" si="38"/>
        <v>1</v>
      </c>
      <c r="Q67" s="76">
        <f t="shared" si="38"/>
        <v>1</v>
      </c>
      <c r="R67" s="76">
        <f t="shared" si="38"/>
        <v>0</v>
      </c>
      <c r="S67" s="76">
        <f t="shared" si="38"/>
        <v>1</v>
      </c>
      <c r="T67" s="76">
        <f t="shared" si="38"/>
        <v>0</v>
      </c>
      <c r="U67" s="76">
        <f t="shared" si="38"/>
        <v>1</v>
      </c>
      <c r="V67" s="76">
        <f t="shared" si="38"/>
        <v>1</v>
      </c>
      <c r="W67" s="76">
        <f t="shared" si="38"/>
        <v>0</v>
      </c>
    </row>
    <row r="68" spans="1:23" x14ac:dyDescent="0.25">
      <c r="A68" s="73" t="str">
        <f>""&amp;Допущения!$G$38</f>
        <v>Видеорегистратор Wi-Fi</v>
      </c>
      <c r="B68" s="28" t="s">
        <v>319</v>
      </c>
      <c r="C68" s="74">
        <f>Допущения!$G$42</f>
        <v>100</v>
      </c>
      <c r="D68" s="75">
        <f>SUM(F68:W68)</f>
        <v>17</v>
      </c>
      <c r="E68" s="76"/>
      <c r="F68" s="76">
        <f t="shared" ref="F68:W68" si="39">IF(F61-F44-F53&gt;0,ROUNDUP((F61-F44-F53)/$C68,0),0)</f>
        <v>1</v>
      </c>
      <c r="G68" s="76">
        <f t="shared" si="39"/>
        <v>1</v>
      </c>
      <c r="H68" s="76">
        <f t="shared" si="39"/>
        <v>1</v>
      </c>
      <c r="I68" s="76">
        <f t="shared" si="39"/>
        <v>1</v>
      </c>
      <c r="J68" s="76">
        <f t="shared" si="39"/>
        <v>0</v>
      </c>
      <c r="K68" s="76">
        <f t="shared" si="39"/>
        <v>1</v>
      </c>
      <c r="L68" s="76">
        <f t="shared" si="39"/>
        <v>1</v>
      </c>
      <c r="M68" s="76">
        <f t="shared" si="39"/>
        <v>1</v>
      </c>
      <c r="N68" s="76">
        <f t="shared" si="39"/>
        <v>1</v>
      </c>
      <c r="O68" s="76">
        <f t="shared" si="39"/>
        <v>1</v>
      </c>
      <c r="P68" s="76">
        <f t="shared" si="39"/>
        <v>1</v>
      </c>
      <c r="Q68" s="76">
        <f t="shared" si="39"/>
        <v>1</v>
      </c>
      <c r="R68" s="76">
        <f t="shared" si="39"/>
        <v>1</v>
      </c>
      <c r="S68" s="76">
        <f t="shared" si="39"/>
        <v>1</v>
      </c>
      <c r="T68" s="76">
        <f t="shared" si="39"/>
        <v>1</v>
      </c>
      <c r="U68" s="76">
        <f t="shared" si="39"/>
        <v>1</v>
      </c>
      <c r="V68" s="76">
        <f t="shared" si="39"/>
        <v>1</v>
      </c>
      <c r="W68" s="76">
        <f t="shared" si="39"/>
        <v>1</v>
      </c>
    </row>
    <row r="70" spans="1:23" x14ac:dyDescent="0.25">
      <c r="A70" s="25" t="s">
        <v>320</v>
      </c>
      <c r="B70" s="26"/>
      <c r="C70" s="72" t="s">
        <v>318</v>
      </c>
      <c r="D70" s="26"/>
      <c r="E70" s="26"/>
      <c r="F70" s="26"/>
      <c r="G70" s="26"/>
      <c r="H70" s="26"/>
      <c r="I70" s="26"/>
      <c r="J70" s="26"/>
      <c r="K70" s="26"/>
      <c r="L70" s="26"/>
      <c r="M70" s="26"/>
      <c r="N70" s="26"/>
      <c r="O70" s="26"/>
      <c r="P70" s="26"/>
      <c r="Q70" s="26"/>
      <c r="R70" s="26"/>
      <c r="S70" s="26"/>
      <c r="T70" s="26"/>
      <c r="U70" s="26"/>
      <c r="V70" s="26"/>
      <c r="W70" s="26"/>
    </row>
    <row r="71" spans="1:23" x14ac:dyDescent="0.25">
      <c r="A71" s="73" t="str">
        <f>""&amp;Допущения!$C$38</f>
        <v>Органайзер в багажник</v>
      </c>
      <c r="B71" s="28" t="s">
        <v>197</v>
      </c>
      <c r="C71" s="74">
        <f>Допущения!$C$42</f>
        <v>200</v>
      </c>
      <c r="D71" s="75">
        <f t="shared" ref="D71:D76" si="40">SUM(F71:W71)</f>
        <v>2600</v>
      </c>
      <c r="E71" s="76"/>
      <c r="F71" s="76">
        <f t="shared" ref="F71:W71" si="41">F64*$C71</f>
        <v>200</v>
      </c>
      <c r="G71" s="76">
        <f t="shared" si="41"/>
        <v>200</v>
      </c>
      <c r="H71" s="76">
        <f t="shared" si="41"/>
        <v>0</v>
      </c>
      <c r="I71" s="76">
        <f t="shared" si="41"/>
        <v>200</v>
      </c>
      <c r="J71" s="76">
        <f t="shared" si="41"/>
        <v>200</v>
      </c>
      <c r="K71" s="76">
        <f t="shared" si="41"/>
        <v>0</v>
      </c>
      <c r="L71" s="76">
        <f t="shared" si="41"/>
        <v>200</v>
      </c>
      <c r="M71" s="76">
        <f t="shared" si="41"/>
        <v>200</v>
      </c>
      <c r="N71" s="76">
        <f t="shared" si="41"/>
        <v>0</v>
      </c>
      <c r="O71" s="76">
        <f t="shared" si="41"/>
        <v>200</v>
      </c>
      <c r="P71" s="76">
        <f t="shared" si="41"/>
        <v>200</v>
      </c>
      <c r="Q71" s="76">
        <f t="shared" si="41"/>
        <v>200</v>
      </c>
      <c r="R71" s="76">
        <f t="shared" si="41"/>
        <v>200</v>
      </c>
      <c r="S71" s="76">
        <f t="shared" si="41"/>
        <v>0</v>
      </c>
      <c r="T71" s="76">
        <f t="shared" si="41"/>
        <v>200</v>
      </c>
      <c r="U71" s="76">
        <f t="shared" si="41"/>
        <v>200</v>
      </c>
      <c r="V71" s="76">
        <f t="shared" si="41"/>
        <v>0</v>
      </c>
      <c r="W71" s="76">
        <f t="shared" si="41"/>
        <v>200</v>
      </c>
    </row>
    <row r="72" spans="1:23" x14ac:dyDescent="0.25">
      <c r="A72" s="73" t="str">
        <f>""&amp;Допущения!$D$38</f>
        <v>Автопылесос беспроводной</v>
      </c>
      <c r="B72" s="28" t="s">
        <v>197</v>
      </c>
      <c r="C72" s="74">
        <f>Допущения!$D$42</f>
        <v>150</v>
      </c>
      <c r="D72" s="75">
        <f t="shared" si="40"/>
        <v>2250</v>
      </c>
      <c r="E72" s="76"/>
      <c r="F72" s="76">
        <f t="shared" ref="F72:W72" si="42">F65*$C72</f>
        <v>150</v>
      </c>
      <c r="G72" s="76">
        <f t="shared" si="42"/>
        <v>150</v>
      </c>
      <c r="H72" s="76">
        <f t="shared" si="42"/>
        <v>0</v>
      </c>
      <c r="I72" s="76">
        <f t="shared" si="42"/>
        <v>150</v>
      </c>
      <c r="J72" s="76">
        <f t="shared" si="42"/>
        <v>150</v>
      </c>
      <c r="K72" s="76">
        <f t="shared" si="42"/>
        <v>150</v>
      </c>
      <c r="L72" s="76">
        <f t="shared" si="42"/>
        <v>150</v>
      </c>
      <c r="M72" s="76">
        <f t="shared" si="42"/>
        <v>0</v>
      </c>
      <c r="N72" s="76">
        <f t="shared" si="42"/>
        <v>150</v>
      </c>
      <c r="O72" s="76">
        <f t="shared" si="42"/>
        <v>150</v>
      </c>
      <c r="P72" s="76">
        <f t="shared" si="42"/>
        <v>150</v>
      </c>
      <c r="Q72" s="76">
        <f t="shared" si="42"/>
        <v>150</v>
      </c>
      <c r="R72" s="76">
        <f t="shared" si="42"/>
        <v>150</v>
      </c>
      <c r="S72" s="76">
        <f t="shared" si="42"/>
        <v>150</v>
      </c>
      <c r="T72" s="76">
        <f t="shared" si="42"/>
        <v>0</v>
      </c>
      <c r="U72" s="76">
        <f t="shared" si="42"/>
        <v>150</v>
      </c>
      <c r="V72" s="76">
        <f t="shared" si="42"/>
        <v>150</v>
      </c>
      <c r="W72" s="76">
        <f t="shared" si="42"/>
        <v>150</v>
      </c>
    </row>
    <row r="73" spans="1:23" x14ac:dyDescent="0.25">
      <c r="A73" s="73" t="str">
        <f>""&amp;Допущения!$E$38</f>
        <v>Держатель телефона MagSafe</v>
      </c>
      <c r="B73" s="28" t="s">
        <v>197</v>
      </c>
      <c r="C73" s="74">
        <f>Допущения!$E$42</f>
        <v>300</v>
      </c>
      <c r="D73" s="75">
        <f t="shared" si="40"/>
        <v>4800</v>
      </c>
      <c r="E73" s="76"/>
      <c r="F73" s="76">
        <f t="shared" ref="F73:W73" si="43">F66*$C73</f>
        <v>300</v>
      </c>
      <c r="G73" s="76">
        <f t="shared" si="43"/>
        <v>300</v>
      </c>
      <c r="H73" s="76">
        <f t="shared" si="43"/>
        <v>300</v>
      </c>
      <c r="I73" s="76">
        <f t="shared" si="43"/>
        <v>0</v>
      </c>
      <c r="J73" s="76">
        <f t="shared" si="43"/>
        <v>300</v>
      </c>
      <c r="K73" s="76">
        <f t="shared" si="43"/>
        <v>300</v>
      </c>
      <c r="L73" s="76">
        <f t="shared" si="43"/>
        <v>300</v>
      </c>
      <c r="M73" s="76">
        <f t="shared" si="43"/>
        <v>300</v>
      </c>
      <c r="N73" s="76">
        <f t="shared" si="43"/>
        <v>300</v>
      </c>
      <c r="O73" s="76">
        <f t="shared" si="43"/>
        <v>300</v>
      </c>
      <c r="P73" s="76">
        <f t="shared" si="43"/>
        <v>300</v>
      </c>
      <c r="Q73" s="76">
        <f t="shared" si="43"/>
        <v>300</v>
      </c>
      <c r="R73" s="76">
        <f t="shared" si="43"/>
        <v>300</v>
      </c>
      <c r="S73" s="76">
        <f t="shared" si="43"/>
        <v>300</v>
      </c>
      <c r="T73" s="76">
        <f t="shared" si="43"/>
        <v>0</v>
      </c>
      <c r="U73" s="76">
        <f t="shared" si="43"/>
        <v>300</v>
      </c>
      <c r="V73" s="76">
        <f t="shared" si="43"/>
        <v>300</v>
      </c>
      <c r="W73" s="76">
        <f t="shared" si="43"/>
        <v>300</v>
      </c>
    </row>
    <row r="74" spans="1:23" x14ac:dyDescent="0.25">
      <c r="A74" s="73" t="str">
        <f>""&amp;Допущения!$F$38</f>
        <v>Чехлы на сиденья, комплект</v>
      </c>
      <c r="B74" s="28" t="s">
        <v>197</v>
      </c>
      <c r="C74" s="74">
        <f>Допущения!$F$42</f>
        <v>100</v>
      </c>
      <c r="D74" s="75">
        <f t="shared" si="40"/>
        <v>1100</v>
      </c>
      <c r="E74" s="76"/>
      <c r="F74" s="76">
        <f t="shared" ref="F74:W74" si="44">F67*$C74</f>
        <v>100</v>
      </c>
      <c r="G74" s="76">
        <f t="shared" si="44"/>
        <v>0</v>
      </c>
      <c r="H74" s="76">
        <f t="shared" si="44"/>
        <v>100</v>
      </c>
      <c r="I74" s="76">
        <f t="shared" si="44"/>
        <v>100</v>
      </c>
      <c r="J74" s="76">
        <f t="shared" si="44"/>
        <v>0</v>
      </c>
      <c r="K74" s="76">
        <f t="shared" si="44"/>
        <v>100</v>
      </c>
      <c r="L74" s="76">
        <f t="shared" si="44"/>
        <v>0</v>
      </c>
      <c r="M74" s="76">
        <f t="shared" si="44"/>
        <v>100</v>
      </c>
      <c r="N74" s="76">
        <f t="shared" si="44"/>
        <v>100</v>
      </c>
      <c r="O74" s="76">
        <f t="shared" si="44"/>
        <v>0</v>
      </c>
      <c r="P74" s="76">
        <f t="shared" si="44"/>
        <v>100</v>
      </c>
      <c r="Q74" s="76">
        <f t="shared" si="44"/>
        <v>100</v>
      </c>
      <c r="R74" s="76">
        <f t="shared" si="44"/>
        <v>0</v>
      </c>
      <c r="S74" s="76">
        <f t="shared" si="44"/>
        <v>100</v>
      </c>
      <c r="T74" s="76">
        <f t="shared" si="44"/>
        <v>0</v>
      </c>
      <c r="U74" s="76">
        <f t="shared" si="44"/>
        <v>100</v>
      </c>
      <c r="V74" s="76">
        <f t="shared" si="44"/>
        <v>100</v>
      </c>
      <c r="W74" s="76">
        <f t="shared" si="44"/>
        <v>0</v>
      </c>
    </row>
    <row r="75" spans="1:23" x14ac:dyDescent="0.25">
      <c r="A75" s="73" t="str">
        <f>""&amp;Допущения!$G$38</f>
        <v>Видеорегистратор Wi-Fi</v>
      </c>
      <c r="B75" s="28" t="s">
        <v>197</v>
      </c>
      <c r="C75" s="74">
        <f>Допущения!$G$42</f>
        <v>100</v>
      </c>
      <c r="D75" s="75">
        <f t="shared" si="40"/>
        <v>1700</v>
      </c>
      <c r="E75" s="76"/>
      <c r="F75" s="76">
        <f t="shared" ref="F75:W75" si="45">F68*$C75</f>
        <v>100</v>
      </c>
      <c r="G75" s="76">
        <f t="shared" si="45"/>
        <v>100</v>
      </c>
      <c r="H75" s="76">
        <f t="shared" si="45"/>
        <v>100</v>
      </c>
      <c r="I75" s="76">
        <f t="shared" si="45"/>
        <v>100</v>
      </c>
      <c r="J75" s="76">
        <f t="shared" si="45"/>
        <v>0</v>
      </c>
      <c r="K75" s="76">
        <f t="shared" si="45"/>
        <v>100</v>
      </c>
      <c r="L75" s="76">
        <f t="shared" si="45"/>
        <v>100</v>
      </c>
      <c r="M75" s="76">
        <f t="shared" si="45"/>
        <v>100</v>
      </c>
      <c r="N75" s="76">
        <f t="shared" si="45"/>
        <v>100</v>
      </c>
      <c r="O75" s="76">
        <f t="shared" si="45"/>
        <v>100</v>
      </c>
      <c r="P75" s="76">
        <f t="shared" si="45"/>
        <v>100</v>
      </c>
      <c r="Q75" s="76">
        <f t="shared" si="45"/>
        <v>100</v>
      </c>
      <c r="R75" s="76">
        <f t="shared" si="45"/>
        <v>100</v>
      </c>
      <c r="S75" s="76">
        <f t="shared" si="45"/>
        <v>100</v>
      </c>
      <c r="T75" s="76">
        <f t="shared" si="45"/>
        <v>100</v>
      </c>
      <c r="U75" s="76">
        <f t="shared" si="45"/>
        <v>100</v>
      </c>
      <c r="V75" s="76">
        <f t="shared" si="45"/>
        <v>100</v>
      </c>
      <c r="W75" s="76">
        <f t="shared" si="45"/>
        <v>100</v>
      </c>
    </row>
    <row r="76" spans="1:23" x14ac:dyDescent="0.25">
      <c r="A76" s="59" t="s">
        <v>32</v>
      </c>
      <c r="B76" s="60" t="s">
        <v>197</v>
      </c>
      <c r="C76" s="77"/>
      <c r="D76" s="75">
        <f t="shared" si="40"/>
        <v>12450</v>
      </c>
      <c r="E76" s="75"/>
      <c r="F76" s="75">
        <f t="shared" ref="F76:W76" si="46">SUM(F71:F75)</f>
        <v>850</v>
      </c>
      <c r="G76" s="75">
        <f t="shared" si="46"/>
        <v>750</v>
      </c>
      <c r="H76" s="75">
        <f t="shared" si="46"/>
        <v>500</v>
      </c>
      <c r="I76" s="75">
        <f t="shared" si="46"/>
        <v>550</v>
      </c>
      <c r="J76" s="75">
        <f t="shared" si="46"/>
        <v>650</v>
      </c>
      <c r="K76" s="75">
        <f t="shared" si="46"/>
        <v>650</v>
      </c>
      <c r="L76" s="75">
        <f t="shared" si="46"/>
        <v>750</v>
      </c>
      <c r="M76" s="75">
        <f t="shared" si="46"/>
        <v>700</v>
      </c>
      <c r="N76" s="75">
        <f t="shared" si="46"/>
        <v>650</v>
      </c>
      <c r="O76" s="75">
        <f t="shared" si="46"/>
        <v>750</v>
      </c>
      <c r="P76" s="75">
        <f t="shared" si="46"/>
        <v>850</v>
      </c>
      <c r="Q76" s="75">
        <f t="shared" si="46"/>
        <v>850</v>
      </c>
      <c r="R76" s="75">
        <f t="shared" si="46"/>
        <v>750</v>
      </c>
      <c r="S76" s="75">
        <f t="shared" si="46"/>
        <v>650</v>
      </c>
      <c r="T76" s="75">
        <f t="shared" si="46"/>
        <v>300</v>
      </c>
      <c r="U76" s="75">
        <f t="shared" si="46"/>
        <v>850</v>
      </c>
      <c r="V76" s="75">
        <f t="shared" si="46"/>
        <v>650</v>
      </c>
      <c r="W76" s="75">
        <f t="shared" si="46"/>
        <v>750</v>
      </c>
    </row>
  </sheetData>
  <sheetProtection sheet="1" formatColumns="0" formatRows="0"/>
  <conditionalFormatting sqref="F37:W37">
    <cfRule type="cellIs" dxfId="7" priority="1" operator="greaterThan">
      <formula>0</formula>
    </cfRule>
  </conditionalFormatting>
  <conditionalFormatting sqref="F71:W75">
    <cfRule type="cellIs" dxfId="6" priority="2" operator="greaterThan">
      <formula>0</formula>
    </cfRule>
  </conditionalFormatting>
  <pageMargins left="0.75" right="0.75"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pageSetUpPr fitToPage="1"/>
  </sheetPr>
  <dimension ref="A1:W84"/>
  <sheetViews>
    <sheetView showGridLines="0" zoomScale="90" workbookViewId="0">
      <pane xSplit="5" ySplit="5" topLeftCell="F6" activePane="bottomRight" state="frozen"/>
      <selection pane="topRight"/>
      <selection pane="bottomLeft"/>
      <selection pane="bottomRight"/>
    </sheetView>
  </sheetViews>
  <sheetFormatPr defaultRowHeight="15" x14ac:dyDescent="0.25"/>
  <cols>
    <col min="1" max="1" width="50" customWidth="1"/>
    <col min="2" max="2" width="9" customWidth="1"/>
    <col min="3" max="3" width="12" customWidth="1"/>
    <col min="4" max="4" width="14" customWidth="1"/>
    <col min="5" max="5" width="10" customWidth="1"/>
    <col min="6" max="23" width="11.42578125" customWidth="1"/>
  </cols>
  <sheetData>
    <row r="1" spans="1:23" ht="21" x14ac:dyDescent="0.35">
      <c r="A1" s="1" t="s">
        <v>321</v>
      </c>
    </row>
    <row r="2" spans="1:23" x14ac:dyDescent="0.25">
      <c r="A2" s="18" t="s">
        <v>322</v>
      </c>
    </row>
    <row r="3" spans="1:23" x14ac:dyDescent="0.25">
      <c r="A3" s="2" t="s">
        <v>5</v>
      </c>
    </row>
    <row r="4" spans="1:23" x14ac:dyDescent="0.25">
      <c r="A4" s="18" t="s">
        <v>227</v>
      </c>
      <c r="F4" s="49">
        <f t="shared" ref="F4:W4" si="0">COLUMN()-COLUMN($E$4)</f>
        <v>1</v>
      </c>
      <c r="G4" s="49">
        <f t="shared" si="0"/>
        <v>2</v>
      </c>
      <c r="H4" s="49">
        <f t="shared" si="0"/>
        <v>3</v>
      </c>
      <c r="I4" s="49">
        <f t="shared" si="0"/>
        <v>4</v>
      </c>
      <c r="J4" s="49">
        <f t="shared" si="0"/>
        <v>5</v>
      </c>
      <c r="K4" s="49">
        <f t="shared" si="0"/>
        <v>6</v>
      </c>
      <c r="L4" s="49">
        <f t="shared" si="0"/>
        <v>7</v>
      </c>
      <c r="M4" s="49">
        <f t="shared" si="0"/>
        <v>8</v>
      </c>
      <c r="N4" s="49">
        <f t="shared" si="0"/>
        <v>9</v>
      </c>
      <c r="O4" s="49">
        <f t="shared" si="0"/>
        <v>10</v>
      </c>
      <c r="P4" s="49">
        <f t="shared" si="0"/>
        <v>11</v>
      </c>
      <c r="Q4" s="49">
        <f t="shared" si="0"/>
        <v>12</v>
      </c>
      <c r="R4" s="49">
        <f t="shared" si="0"/>
        <v>13</v>
      </c>
      <c r="S4" s="49">
        <f t="shared" si="0"/>
        <v>14</v>
      </c>
      <c r="T4" s="49">
        <f t="shared" si="0"/>
        <v>15</v>
      </c>
      <c r="U4" s="49">
        <f t="shared" si="0"/>
        <v>16</v>
      </c>
      <c r="V4" s="49">
        <f t="shared" si="0"/>
        <v>17</v>
      </c>
      <c r="W4" s="49">
        <f t="shared" si="0"/>
        <v>18</v>
      </c>
    </row>
    <row r="5" spans="1:23" x14ac:dyDescent="0.25">
      <c r="A5" s="70" t="s">
        <v>268</v>
      </c>
      <c r="B5" s="70" t="s">
        <v>101</v>
      </c>
      <c r="C5" s="70" t="s">
        <v>100</v>
      </c>
      <c r="D5" s="70" t="s">
        <v>32</v>
      </c>
      <c r="E5" s="70" t="s">
        <v>305</v>
      </c>
      <c r="F5" s="71">
        <f t="shared" ref="F5:W5" si="1">EDATE(Дата_начала,F$4-1)</f>
        <v>46327</v>
      </c>
      <c r="G5" s="71">
        <f t="shared" si="1"/>
        <v>46357</v>
      </c>
      <c r="H5" s="71">
        <f t="shared" si="1"/>
        <v>46388</v>
      </c>
      <c r="I5" s="71">
        <f t="shared" si="1"/>
        <v>46419</v>
      </c>
      <c r="J5" s="71">
        <f t="shared" si="1"/>
        <v>46447</v>
      </c>
      <c r="K5" s="71">
        <f t="shared" si="1"/>
        <v>46478</v>
      </c>
      <c r="L5" s="71">
        <f t="shared" si="1"/>
        <v>46508</v>
      </c>
      <c r="M5" s="71">
        <f t="shared" si="1"/>
        <v>46539</v>
      </c>
      <c r="N5" s="71">
        <f t="shared" si="1"/>
        <v>46569</v>
      </c>
      <c r="O5" s="71">
        <f t="shared" si="1"/>
        <v>46600</v>
      </c>
      <c r="P5" s="71">
        <f t="shared" si="1"/>
        <v>46631</v>
      </c>
      <c r="Q5" s="71">
        <f t="shared" si="1"/>
        <v>46661</v>
      </c>
      <c r="R5" s="71">
        <f t="shared" si="1"/>
        <v>46692</v>
      </c>
      <c r="S5" s="71">
        <f t="shared" si="1"/>
        <v>46722</v>
      </c>
      <c r="T5" s="71">
        <f t="shared" si="1"/>
        <v>46753</v>
      </c>
      <c r="U5" s="71">
        <f t="shared" si="1"/>
        <v>46784</v>
      </c>
      <c r="V5" s="71">
        <f t="shared" si="1"/>
        <v>46813</v>
      </c>
      <c r="W5" s="71">
        <f t="shared" si="1"/>
        <v>46844</v>
      </c>
    </row>
    <row r="7" spans="1:23" x14ac:dyDescent="0.25">
      <c r="A7" s="59" t="s">
        <v>323</v>
      </c>
      <c r="B7" s="60" t="s">
        <v>108</v>
      </c>
      <c r="C7" s="77"/>
      <c r="D7" s="75"/>
      <c r="E7" s="75"/>
      <c r="F7" s="75">
        <f t="shared" ref="F7:W7" si="2">E65</f>
        <v>2000000</v>
      </c>
      <c r="G7" s="75">
        <f t="shared" si="2"/>
        <v>1188093.2</v>
      </c>
      <c r="H7" s="75">
        <f t="shared" si="2"/>
        <v>742913.1</v>
      </c>
      <c r="I7" s="75">
        <f t="shared" si="2"/>
        <v>56803.691164657823</v>
      </c>
      <c r="J7" s="75">
        <f t="shared" si="2"/>
        <v>-315376.47212517017</v>
      </c>
      <c r="K7" s="75">
        <f t="shared" si="2"/>
        <v>-218123.59145917604</v>
      </c>
      <c r="L7" s="75">
        <f t="shared" si="2"/>
        <v>-397876.69060289767</v>
      </c>
      <c r="M7" s="75">
        <f t="shared" si="2"/>
        <v>-84529.663208324229</v>
      </c>
      <c r="N7" s="75">
        <f t="shared" si="2"/>
        <v>231013.03657078673</v>
      </c>
      <c r="O7" s="75">
        <f t="shared" si="2"/>
        <v>227133.93258435978</v>
      </c>
      <c r="P7" s="75">
        <f t="shared" si="2"/>
        <v>499597.44156862493</v>
      </c>
      <c r="Q7" s="75">
        <f t="shared" si="2"/>
        <v>733366.32797041722</v>
      </c>
      <c r="R7" s="75">
        <f t="shared" si="2"/>
        <v>743900.36893259338</v>
      </c>
      <c r="S7" s="75">
        <f t="shared" si="2"/>
        <v>1149602.9377005163</v>
      </c>
      <c r="T7" s="75">
        <f t="shared" si="2"/>
        <v>1618007.802618515</v>
      </c>
      <c r="U7" s="75">
        <f t="shared" si="2"/>
        <v>1926734.3367784824</v>
      </c>
      <c r="V7" s="75">
        <f t="shared" si="2"/>
        <v>2074912.5749679017</v>
      </c>
      <c r="W7" s="75">
        <f t="shared" si="2"/>
        <v>2549951.0213696938</v>
      </c>
    </row>
    <row r="9" spans="1:23" x14ac:dyDescent="0.25">
      <c r="A9" s="25" t="s">
        <v>324</v>
      </c>
      <c r="B9" s="26"/>
      <c r="C9" s="26"/>
      <c r="D9" s="26"/>
      <c r="E9" s="26"/>
      <c r="F9" s="26"/>
      <c r="G9" s="26"/>
      <c r="H9" s="26"/>
      <c r="I9" s="26"/>
      <c r="J9" s="26"/>
      <c r="K9" s="26"/>
      <c r="L9" s="26"/>
      <c r="M9" s="26"/>
      <c r="N9" s="26"/>
      <c r="O9" s="26"/>
      <c r="P9" s="26"/>
      <c r="Q9" s="26"/>
      <c r="R9" s="26"/>
      <c r="S9" s="26"/>
      <c r="T9" s="26"/>
      <c r="U9" s="26"/>
      <c r="V9" s="26"/>
      <c r="W9" s="26"/>
    </row>
    <row r="10" spans="1:23" x14ac:dyDescent="0.25">
      <c r="A10" s="18" t="s">
        <v>325</v>
      </c>
      <c r="C10" s="78">
        <f>INT(Задержка_выплат_дн/Дней_в_месяце)</f>
        <v>0</v>
      </c>
    </row>
    <row r="11" spans="1:23" x14ac:dyDescent="0.25">
      <c r="A11" s="18" t="s">
        <v>326</v>
      </c>
      <c r="C11" s="79">
        <f>Задержка_выплат_дн/Дней_в_месяце-$C$10</f>
        <v>0.46666666666666667</v>
      </c>
    </row>
    <row r="12" spans="1:23" x14ac:dyDescent="0.25">
      <c r="A12" s="80" t="s">
        <v>327</v>
      </c>
      <c r="B12" s="28" t="s">
        <v>108</v>
      </c>
      <c r="C12" s="74"/>
      <c r="D12" s="75">
        <f>SUM(F12:W12)</f>
        <v>18721816.325258095</v>
      </c>
      <c r="E12" s="74"/>
      <c r="F12" s="74">
        <f>ОПиУ!F8-ОПиУ!F23-ОПиУ!F29</f>
        <v>0</v>
      </c>
      <c r="G12" s="74">
        <f>ОПиУ!G8-ОПиУ!G23-ОПиУ!G29</f>
        <v>0</v>
      </c>
      <c r="H12" s="74">
        <f>ОПиУ!H8-ОПиУ!H23-ОПиУ!H29</f>
        <v>374268.09593373339</v>
      </c>
      <c r="I12" s="74">
        <f>ОПиУ!I8-ОПиУ!I23-ОПиУ!I29</f>
        <v>623780.15988955554</v>
      </c>
      <c r="J12" s="74">
        <f>ОПиУ!J8-ОПиУ!J23-ОПиУ!J29</f>
        <v>873292.22384537791</v>
      </c>
      <c r="K12" s="74">
        <f>ОПиУ!K8-ОПиУ!K23-ОПиУ!K29</f>
        <v>1061828.193240816</v>
      </c>
      <c r="L12" s="74">
        <f>ОПиУ!L8-ОПиУ!L23-ОПиУ!L29</f>
        <v>1247560.3197791111</v>
      </c>
      <c r="M12" s="74">
        <f>ОПиУ!M8-ОПиУ!M23-ОПиУ!M29</f>
        <v>1247560.3197791111</v>
      </c>
      <c r="N12" s="74">
        <f>ОПиУ!N8-ОПиУ!N23-ОПиУ!N29</f>
        <v>1186584.225218727</v>
      </c>
      <c r="O12" s="74">
        <f>ОПиУ!O8-ОПиУ!O23-ОПиУ!O29</f>
        <v>1247560.3197791111</v>
      </c>
      <c r="P12" s="74">
        <f>ОПиУ!P8-ОПиУ!P23-ОПиУ!P29</f>
        <v>1311340.2571966383</v>
      </c>
      <c r="Q12" s="74">
        <f>ОПиУ!Q8-ОПиУ!Q23-ОПиУ!Q29</f>
        <v>1372316.3517570221</v>
      </c>
      <c r="R12" s="74">
        <f>ОПиУ!R8-ОПиУ!R23-ОПиУ!R29</f>
        <v>1560852.3211524605</v>
      </c>
      <c r="S12" s="74">
        <f>ОПиУ!S8-ОПиУ!S23-ОПиУ!S29</f>
        <v>1621828.4157128446</v>
      </c>
      <c r="T12" s="74">
        <f>ОПиУ!T8-ОПиУ!T23-ОПиУ!T29</f>
        <v>1122804.2878012001</v>
      </c>
      <c r="U12" s="74">
        <f>ОПиУ!U8-ОПиУ!U23-ОПиУ!U29</f>
        <v>1247560.3197791111</v>
      </c>
      <c r="V12" s="74">
        <f>ОПиУ!V8-ОПиУ!V23-ОПиУ!V29</f>
        <v>1311340.2571966383</v>
      </c>
      <c r="W12" s="74">
        <f>ОПиУ!W8-ОПиУ!W23-ОПиУ!W29</f>
        <v>1311340.2571966383</v>
      </c>
    </row>
    <row r="13" spans="1:23" x14ac:dyDescent="0.25">
      <c r="A13" s="59" t="s">
        <v>328</v>
      </c>
      <c r="B13" s="60" t="s">
        <v>108</v>
      </c>
      <c r="C13" s="77"/>
      <c r="D13" s="75">
        <f>SUM(F13:W13)</f>
        <v>18109857.538566329</v>
      </c>
      <c r="E13" s="75"/>
      <c r="F13" s="75">
        <f t="shared" ref="F13:W13" si="3">(1-$C$11)*SUMIFS($F$12:$W$12,$F$4:$W$4,F$4-$C$10)+$C$11*SUMIFS($F$12:$W$12,$F$4:$W$4,F$4-$C$10-1)</f>
        <v>0</v>
      </c>
      <c r="G13" s="75">
        <f t="shared" si="3"/>
        <v>0</v>
      </c>
      <c r="H13" s="75">
        <f t="shared" si="3"/>
        <v>199609.65116465781</v>
      </c>
      <c r="I13" s="75">
        <f t="shared" si="3"/>
        <v>507341.19671017188</v>
      </c>
      <c r="J13" s="75">
        <f t="shared" si="3"/>
        <v>756853.26066599414</v>
      </c>
      <c r="K13" s="75">
        <f t="shared" si="3"/>
        <v>973844.74085627822</v>
      </c>
      <c r="L13" s="75">
        <f t="shared" si="3"/>
        <v>1160885.3273945735</v>
      </c>
      <c r="M13" s="75">
        <f t="shared" si="3"/>
        <v>1247560.3197791111</v>
      </c>
      <c r="N13" s="75">
        <f t="shared" si="3"/>
        <v>1215039.7360135729</v>
      </c>
      <c r="O13" s="75">
        <f t="shared" si="3"/>
        <v>1219104.8089842652</v>
      </c>
      <c r="P13" s="75">
        <f t="shared" si="3"/>
        <v>1281576.2864017924</v>
      </c>
      <c r="Q13" s="75">
        <f t="shared" si="3"/>
        <v>1343860.8409621762</v>
      </c>
      <c r="R13" s="75">
        <f t="shared" si="3"/>
        <v>1472868.8687679227</v>
      </c>
      <c r="S13" s="75">
        <f t="shared" si="3"/>
        <v>1593372.9049179987</v>
      </c>
      <c r="T13" s="75">
        <f t="shared" si="3"/>
        <v>1355682.2141599674</v>
      </c>
      <c r="U13" s="75">
        <f t="shared" si="3"/>
        <v>1189340.8381894194</v>
      </c>
      <c r="V13" s="75">
        <f t="shared" si="3"/>
        <v>1281576.2864017924</v>
      </c>
      <c r="W13" s="75">
        <f t="shared" si="3"/>
        <v>1311340.2571966383</v>
      </c>
    </row>
    <row r="15" spans="1:23" x14ac:dyDescent="0.25">
      <c r="A15" s="25" t="s">
        <v>329</v>
      </c>
      <c r="B15" s="26"/>
      <c r="C15" s="26"/>
      <c r="D15" s="26"/>
      <c r="E15" s="26"/>
      <c r="F15" s="26"/>
      <c r="G15" s="26"/>
      <c r="H15" s="26"/>
      <c r="I15" s="26"/>
      <c r="J15" s="26"/>
      <c r="K15" s="26"/>
      <c r="L15" s="26"/>
      <c r="M15" s="26"/>
      <c r="N15" s="26"/>
      <c r="O15" s="26"/>
      <c r="P15" s="26"/>
      <c r="Q15" s="26"/>
      <c r="R15" s="26"/>
      <c r="S15" s="26"/>
      <c r="T15" s="26"/>
      <c r="U15" s="26"/>
      <c r="V15" s="26"/>
      <c r="W15" s="26"/>
    </row>
    <row r="16" spans="1:23" x14ac:dyDescent="0.25">
      <c r="A16" s="59" t="s">
        <v>330</v>
      </c>
      <c r="B16" s="60" t="s">
        <v>108</v>
      </c>
      <c r="C16" s="77"/>
      <c r="D16" s="75">
        <f t="shared" ref="D16:D62" si="4">SUM(F16:W16)</f>
        <v>7544803.5599999996</v>
      </c>
      <c r="E16" s="75"/>
      <c r="F16" s="75">
        <f t="shared" ref="F16:W16" si="5">SUM(F17:F21)</f>
        <v>526906.80000000005</v>
      </c>
      <c r="G16" s="75">
        <f t="shared" si="5"/>
        <v>395180.1</v>
      </c>
      <c r="H16" s="75">
        <f t="shared" si="5"/>
        <v>337471.26</v>
      </c>
      <c r="I16" s="75">
        <f t="shared" si="5"/>
        <v>444107.16</v>
      </c>
      <c r="J16" s="75">
        <f t="shared" si="5"/>
        <v>272235.18</v>
      </c>
      <c r="K16" s="75">
        <f t="shared" si="5"/>
        <v>446616.24</v>
      </c>
      <c r="L16" s="75">
        <f t="shared" si="5"/>
        <v>395180.1</v>
      </c>
      <c r="M16" s="75">
        <f t="shared" si="5"/>
        <v>417761.82</v>
      </c>
      <c r="N16" s="75">
        <f t="shared" si="5"/>
        <v>446616.24</v>
      </c>
      <c r="O16" s="75">
        <f t="shared" si="5"/>
        <v>395180.1</v>
      </c>
      <c r="P16" s="75">
        <f t="shared" si="5"/>
        <v>526906.80000000005</v>
      </c>
      <c r="Q16" s="75">
        <f t="shared" si="5"/>
        <v>526906.80000000005</v>
      </c>
      <c r="R16" s="75">
        <f t="shared" si="5"/>
        <v>395180.1</v>
      </c>
      <c r="S16" s="75">
        <f t="shared" si="5"/>
        <v>446616.24</v>
      </c>
      <c r="T16" s="75">
        <f t="shared" si="5"/>
        <v>203235.47999999998</v>
      </c>
      <c r="U16" s="75">
        <f t="shared" si="5"/>
        <v>526906.80000000005</v>
      </c>
      <c r="V16" s="75">
        <f t="shared" si="5"/>
        <v>446616.24</v>
      </c>
      <c r="W16" s="75">
        <f t="shared" si="5"/>
        <v>395180.1</v>
      </c>
    </row>
    <row r="17" spans="1:23" x14ac:dyDescent="0.25">
      <c r="A17" s="73" t="str">
        <f>""&amp;Допущения!$C$38</f>
        <v>Органайзер в багажник</v>
      </c>
      <c r="B17" s="28" t="s">
        <v>108</v>
      </c>
      <c r="C17" s="81">
        <f>'Юнит-экономика'!$C$21</f>
        <v>401.45279999999997</v>
      </c>
      <c r="D17" s="75">
        <f t="shared" si="4"/>
        <v>1043777.2800000003</v>
      </c>
      <c r="E17" s="76"/>
      <c r="F17" s="76">
        <f>'Закупки и склад'!F$71*$C17</f>
        <v>80290.559999999998</v>
      </c>
      <c r="G17" s="76">
        <f>'Закупки и склад'!G$71*$C17</f>
        <v>80290.559999999998</v>
      </c>
      <c r="H17" s="76">
        <f>'Закупки и склад'!H$71*$C17</f>
        <v>0</v>
      </c>
      <c r="I17" s="76">
        <f>'Закупки и склад'!I$71*$C17</f>
        <v>80290.559999999998</v>
      </c>
      <c r="J17" s="76">
        <f>'Закупки и склад'!J$71*$C17</f>
        <v>80290.559999999998</v>
      </c>
      <c r="K17" s="76">
        <f>'Закупки и склад'!K$71*$C17</f>
        <v>0</v>
      </c>
      <c r="L17" s="76">
        <f>'Закупки и склад'!L$71*$C17</f>
        <v>80290.559999999998</v>
      </c>
      <c r="M17" s="76">
        <f>'Закупки и склад'!M$71*$C17</f>
        <v>80290.559999999998</v>
      </c>
      <c r="N17" s="76">
        <f>'Закупки и склад'!N$71*$C17</f>
        <v>0</v>
      </c>
      <c r="O17" s="76">
        <f>'Закупки и склад'!O$71*$C17</f>
        <v>80290.559999999998</v>
      </c>
      <c r="P17" s="76">
        <f>'Закупки и склад'!P$71*$C17</f>
        <v>80290.559999999998</v>
      </c>
      <c r="Q17" s="76">
        <f>'Закупки и склад'!Q$71*$C17</f>
        <v>80290.559999999998</v>
      </c>
      <c r="R17" s="76">
        <f>'Закупки и склад'!R$71*$C17</f>
        <v>80290.559999999998</v>
      </c>
      <c r="S17" s="76">
        <f>'Закупки и склад'!S$71*$C17</f>
        <v>0</v>
      </c>
      <c r="T17" s="76">
        <f>'Закупки и склад'!T$71*$C17</f>
        <v>80290.559999999998</v>
      </c>
      <c r="U17" s="76">
        <f>'Закупки и склад'!U$71*$C17</f>
        <v>80290.559999999998</v>
      </c>
      <c r="V17" s="76">
        <f>'Закупки и склад'!V$71*$C17</f>
        <v>0</v>
      </c>
      <c r="W17" s="76">
        <f>'Закупки и склад'!W$71*$C17</f>
        <v>80290.559999999998</v>
      </c>
    </row>
    <row r="18" spans="1:23" x14ac:dyDescent="0.25">
      <c r="A18" s="73" t="str">
        <f>""&amp;Допущения!$D$38</f>
        <v>Автопылесос беспроводной</v>
      </c>
      <c r="B18" s="28" t="s">
        <v>108</v>
      </c>
      <c r="C18" s="81">
        <f>'Юнит-экономика'!$D$21</f>
        <v>727.63319999999999</v>
      </c>
      <c r="D18" s="75">
        <f t="shared" si="4"/>
        <v>1637174.7</v>
      </c>
      <c r="E18" s="76"/>
      <c r="F18" s="76">
        <f>'Закупки и склад'!F$72*$C18</f>
        <v>109144.98</v>
      </c>
      <c r="G18" s="76">
        <f>'Закупки и склад'!G$72*$C18</f>
        <v>109144.98</v>
      </c>
      <c r="H18" s="76">
        <f>'Закупки и склад'!H$72*$C18</f>
        <v>0</v>
      </c>
      <c r="I18" s="76">
        <f>'Закупки и склад'!I$72*$C18</f>
        <v>109144.98</v>
      </c>
      <c r="J18" s="76">
        <f>'Закупки и склад'!J$72*$C18</f>
        <v>109144.98</v>
      </c>
      <c r="K18" s="76">
        <f>'Закупки и склад'!K$72*$C18</f>
        <v>109144.98</v>
      </c>
      <c r="L18" s="76">
        <f>'Закупки и склад'!L$72*$C18</f>
        <v>109144.98</v>
      </c>
      <c r="M18" s="76">
        <f>'Закупки и склад'!M$72*$C18</f>
        <v>0</v>
      </c>
      <c r="N18" s="76">
        <f>'Закупки и склад'!N$72*$C18</f>
        <v>109144.98</v>
      </c>
      <c r="O18" s="76">
        <f>'Закупки и склад'!O$72*$C18</f>
        <v>109144.98</v>
      </c>
      <c r="P18" s="76">
        <f>'Закупки и склад'!P$72*$C18</f>
        <v>109144.98</v>
      </c>
      <c r="Q18" s="76">
        <f>'Закупки и склад'!Q$72*$C18</f>
        <v>109144.98</v>
      </c>
      <c r="R18" s="76">
        <f>'Закупки и склад'!R$72*$C18</f>
        <v>109144.98</v>
      </c>
      <c r="S18" s="76">
        <f>'Закупки и склад'!S$72*$C18</f>
        <v>109144.98</v>
      </c>
      <c r="T18" s="76">
        <f>'Закупки и склад'!T$72*$C18</f>
        <v>0</v>
      </c>
      <c r="U18" s="76">
        <f>'Закупки и склад'!U$72*$C18</f>
        <v>109144.98</v>
      </c>
      <c r="V18" s="76">
        <f>'Закупки и склад'!V$72*$C18</f>
        <v>109144.98</v>
      </c>
      <c r="W18" s="76">
        <f>'Закупки и склад'!W$72*$C18</f>
        <v>109144.98</v>
      </c>
    </row>
    <row r="19" spans="1:23" x14ac:dyDescent="0.25">
      <c r="A19" s="73" t="str">
        <f>""&amp;Допущения!$E$38</f>
        <v>Держатель телефона MagSafe</v>
      </c>
      <c r="B19" s="28" t="s">
        <v>108</v>
      </c>
      <c r="C19" s="81">
        <f>'Юнит-экономика'!$E$21</f>
        <v>275.99880000000002</v>
      </c>
      <c r="D19" s="75">
        <f t="shared" si="4"/>
        <v>1324794.2399999998</v>
      </c>
      <c r="E19" s="76"/>
      <c r="F19" s="76">
        <f>'Закупки и склад'!F$73*$C19</f>
        <v>82799.64</v>
      </c>
      <c r="G19" s="76">
        <f>'Закупки и склад'!G$73*$C19</f>
        <v>82799.64</v>
      </c>
      <c r="H19" s="76">
        <f>'Закупки и склад'!H$73*$C19</f>
        <v>82799.64</v>
      </c>
      <c r="I19" s="76">
        <f>'Закупки и склад'!I$73*$C19</f>
        <v>0</v>
      </c>
      <c r="J19" s="76">
        <f>'Закупки и склад'!J$73*$C19</f>
        <v>82799.64</v>
      </c>
      <c r="K19" s="76">
        <f>'Закупки и склад'!K$73*$C19</f>
        <v>82799.64</v>
      </c>
      <c r="L19" s="76">
        <f>'Закупки и склад'!L$73*$C19</f>
        <v>82799.64</v>
      </c>
      <c r="M19" s="76">
        <f>'Закупки и склад'!M$73*$C19</f>
        <v>82799.64</v>
      </c>
      <c r="N19" s="76">
        <f>'Закупки и склад'!N$73*$C19</f>
        <v>82799.64</v>
      </c>
      <c r="O19" s="76">
        <f>'Закупки и склад'!O$73*$C19</f>
        <v>82799.64</v>
      </c>
      <c r="P19" s="76">
        <f>'Закупки и склад'!P$73*$C19</f>
        <v>82799.64</v>
      </c>
      <c r="Q19" s="76">
        <f>'Закупки и склад'!Q$73*$C19</f>
        <v>82799.64</v>
      </c>
      <c r="R19" s="76">
        <f>'Закупки и склад'!R$73*$C19</f>
        <v>82799.64</v>
      </c>
      <c r="S19" s="76">
        <f>'Закупки и склад'!S$73*$C19</f>
        <v>82799.64</v>
      </c>
      <c r="T19" s="76">
        <f>'Закупки и склад'!T$73*$C19</f>
        <v>0</v>
      </c>
      <c r="U19" s="76">
        <f>'Закупки и склад'!U$73*$C19</f>
        <v>82799.64</v>
      </c>
      <c r="V19" s="76">
        <f>'Закупки и склад'!V$73*$C19</f>
        <v>82799.64</v>
      </c>
      <c r="W19" s="76">
        <f>'Закупки и склад'!W$73*$C19</f>
        <v>82799.64</v>
      </c>
    </row>
    <row r="20" spans="1:23" x14ac:dyDescent="0.25">
      <c r="A20" s="73" t="str">
        <f>""&amp;Допущения!$F$38</f>
        <v>Чехлы на сиденья, комплект</v>
      </c>
      <c r="B20" s="28" t="s">
        <v>108</v>
      </c>
      <c r="C20" s="81">
        <f>'Юнит-экономика'!$F$21</f>
        <v>1317.2670000000001</v>
      </c>
      <c r="D20" s="75">
        <f t="shared" si="4"/>
        <v>1448993.6999999997</v>
      </c>
      <c r="E20" s="76"/>
      <c r="F20" s="76">
        <f>'Закупки и склад'!F$74*$C20</f>
        <v>131726.70000000001</v>
      </c>
      <c r="G20" s="76">
        <f>'Закупки и склад'!G$74*$C20</f>
        <v>0</v>
      </c>
      <c r="H20" s="76">
        <f>'Закупки и склад'!H$74*$C20</f>
        <v>131726.70000000001</v>
      </c>
      <c r="I20" s="76">
        <f>'Закупки и склад'!I$74*$C20</f>
        <v>131726.70000000001</v>
      </c>
      <c r="J20" s="76">
        <f>'Закупки и склад'!J$74*$C20</f>
        <v>0</v>
      </c>
      <c r="K20" s="76">
        <f>'Закупки и склад'!K$74*$C20</f>
        <v>131726.70000000001</v>
      </c>
      <c r="L20" s="76">
        <f>'Закупки и склад'!L$74*$C20</f>
        <v>0</v>
      </c>
      <c r="M20" s="76">
        <f>'Закупки и склад'!M$74*$C20</f>
        <v>131726.70000000001</v>
      </c>
      <c r="N20" s="76">
        <f>'Закупки и склад'!N$74*$C20</f>
        <v>131726.70000000001</v>
      </c>
      <c r="O20" s="76">
        <f>'Закупки и склад'!O$74*$C20</f>
        <v>0</v>
      </c>
      <c r="P20" s="76">
        <f>'Закупки и склад'!P$74*$C20</f>
        <v>131726.70000000001</v>
      </c>
      <c r="Q20" s="76">
        <f>'Закупки и склад'!Q$74*$C20</f>
        <v>131726.70000000001</v>
      </c>
      <c r="R20" s="76">
        <f>'Закупки и склад'!R$74*$C20</f>
        <v>0</v>
      </c>
      <c r="S20" s="76">
        <f>'Закупки и склад'!S$74*$C20</f>
        <v>131726.70000000001</v>
      </c>
      <c r="T20" s="76">
        <f>'Закупки и склад'!T$74*$C20</f>
        <v>0</v>
      </c>
      <c r="U20" s="76">
        <f>'Закупки и склад'!U$74*$C20</f>
        <v>131726.70000000001</v>
      </c>
      <c r="V20" s="76">
        <f>'Закупки и склад'!V$74*$C20</f>
        <v>131726.70000000001</v>
      </c>
      <c r="W20" s="76">
        <f>'Закупки и склад'!W$74*$C20</f>
        <v>0</v>
      </c>
    </row>
    <row r="21" spans="1:23" x14ac:dyDescent="0.25">
      <c r="A21" s="73" t="str">
        <f>""&amp;Допущения!$G$38</f>
        <v>Видеорегистратор Wi-Fi</v>
      </c>
      <c r="B21" s="28" t="s">
        <v>108</v>
      </c>
      <c r="C21" s="81">
        <f>'Юнит-экономика'!$G$21</f>
        <v>1229.4492</v>
      </c>
      <c r="D21" s="75">
        <f t="shared" si="4"/>
        <v>2090063.6399999994</v>
      </c>
      <c r="E21" s="76"/>
      <c r="F21" s="76">
        <f>'Закупки и склад'!F$75*$C21</f>
        <v>122944.92</v>
      </c>
      <c r="G21" s="76">
        <f>'Закупки и склад'!G$75*$C21</f>
        <v>122944.92</v>
      </c>
      <c r="H21" s="76">
        <f>'Закупки и склад'!H$75*$C21</f>
        <v>122944.92</v>
      </c>
      <c r="I21" s="76">
        <f>'Закупки и склад'!I$75*$C21</f>
        <v>122944.92</v>
      </c>
      <c r="J21" s="76">
        <f>'Закупки и склад'!J$75*$C21</f>
        <v>0</v>
      </c>
      <c r="K21" s="76">
        <f>'Закупки и склад'!K$75*$C21</f>
        <v>122944.92</v>
      </c>
      <c r="L21" s="76">
        <f>'Закупки и склад'!L$75*$C21</f>
        <v>122944.92</v>
      </c>
      <c r="M21" s="76">
        <f>'Закупки и склад'!M$75*$C21</f>
        <v>122944.92</v>
      </c>
      <c r="N21" s="76">
        <f>'Закупки и склад'!N$75*$C21</f>
        <v>122944.92</v>
      </c>
      <c r="O21" s="76">
        <f>'Закупки и склад'!O$75*$C21</f>
        <v>122944.92</v>
      </c>
      <c r="P21" s="76">
        <f>'Закупки и склад'!P$75*$C21</f>
        <v>122944.92</v>
      </c>
      <c r="Q21" s="76">
        <f>'Закупки и склад'!Q$75*$C21</f>
        <v>122944.92</v>
      </c>
      <c r="R21" s="76">
        <f>'Закупки и склад'!R$75*$C21</f>
        <v>122944.92</v>
      </c>
      <c r="S21" s="76">
        <f>'Закупки и склад'!S$75*$C21</f>
        <v>122944.92</v>
      </c>
      <c r="T21" s="76">
        <f>'Закупки и склад'!T$75*$C21</f>
        <v>122944.92</v>
      </c>
      <c r="U21" s="76">
        <f>'Закупки и склад'!U$75*$C21</f>
        <v>122944.92</v>
      </c>
      <c r="V21" s="76">
        <f>'Закупки и склад'!V$75*$C21</f>
        <v>122944.92</v>
      </c>
      <c r="W21" s="76">
        <f>'Закупки и склад'!W$75*$C21</f>
        <v>122944.92</v>
      </c>
    </row>
    <row r="22" spans="1:23" x14ac:dyDescent="0.25">
      <c r="A22" s="59" t="s">
        <v>331</v>
      </c>
      <c r="B22" s="60" t="s">
        <v>108</v>
      </c>
      <c r="C22" s="77"/>
      <c r="D22" s="75">
        <f t="shared" si="4"/>
        <v>2101400</v>
      </c>
      <c r="E22" s="75"/>
      <c r="F22" s="75">
        <f t="shared" ref="F22:W22" si="6">SUM(F23:F27)</f>
        <v>0</v>
      </c>
      <c r="G22" s="75">
        <f t="shared" si="6"/>
        <v>0</v>
      </c>
      <c r="H22" s="75">
        <f t="shared" si="6"/>
        <v>176400</v>
      </c>
      <c r="I22" s="75">
        <f t="shared" si="6"/>
        <v>119200</v>
      </c>
      <c r="J22" s="75">
        <f t="shared" si="6"/>
        <v>85800</v>
      </c>
      <c r="K22" s="75">
        <f t="shared" si="6"/>
        <v>156600</v>
      </c>
      <c r="L22" s="75">
        <f t="shared" si="6"/>
        <v>110400</v>
      </c>
      <c r="M22" s="75">
        <f t="shared" si="6"/>
        <v>118800</v>
      </c>
      <c r="N22" s="75">
        <f t="shared" si="6"/>
        <v>119200</v>
      </c>
      <c r="O22" s="75">
        <f t="shared" si="6"/>
        <v>143400</v>
      </c>
      <c r="P22" s="75">
        <f t="shared" si="6"/>
        <v>118800</v>
      </c>
      <c r="Q22" s="75">
        <f t="shared" si="6"/>
        <v>119200</v>
      </c>
      <c r="R22" s="75">
        <f t="shared" si="6"/>
        <v>176400</v>
      </c>
      <c r="S22" s="75">
        <f t="shared" si="6"/>
        <v>176400</v>
      </c>
      <c r="T22" s="75">
        <f t="shared" si="6"/>
        <v>119200</v>
      </c>
      <c r="U22" s="75">
        <f t="shared" si="6"/>
        <v>118800</v>
      </c>
      <c r="V22" s="75">
        <f t="shared" si="6"/>
        <v>66400</v>
      </c>
      <c r="W22" s="75">
        <f t="shared" si="6"/>
        <v>176400</v>
      </c>
    </row>
    <row r="23" spans="1:23" x14ac:dyDescent="0.25">
      <c r="A23" s="73" t="str">
        <f>""&amp;Допущения!$C$38</f>
        <v>Органайзер в багажник</v>
      </c>
      <c r="B23" s="28" t="s">
        <v>108</v>
      </c>
      <c r="C23" s="81">
        <f>'Юнит-экономика'!$C$13</f>
        <v>288</v>
      </c>
      <c r="D23" s="75">
        <f t="shared" si="4"/>
        <v>691200</v>
      </c>
      <c r="E23" s="76"/>
      <c r="F23" s="76">
        <f>'Закупки и склад'!F$16*$C23</f>
        <v>0</v>
      </c>
      <c r="G23" s="76">
        <f>'Закупки и склад'!G$16*$C23</f>
        <v>0</v>
      </c>
      <c r="H23" s="76">
        <f>'Закупки и склад'!H$16*$C23</f>
        <v>57600</v>
      </c>
      <c r="I23" s="76">
        <f>'Закупки и склад'!I$16*$C23</f>
        <v>57600</v>
      </c>
      <c r="J23" s="76">
        <f>'Закупки и склад'!J$16*$C23</f>
        <v>0</v>
      </c>
      <c r="K23" s="76">
        <f>'Закупки и склад'!K$16*$C23</f>
        <v>57600</v>
      </c>
      <c r="L23" s="76">
        <f>'Закупки и склад'!L$16*$C23</f>
        <v>57600</v>
      </c>
      <c r="M23" s="76">
        <f>'Закупки и склад'!M$16*$C23</f>
        <v>0</v>
      </c>
      <c r="N23" s="76">
        <f>'Закупки и склад'!N$16*$C23</f>
        <v>57600</v>
      </c>
      <c r="O23" s="76">
        <f>'Закупки и склад'!O$16*$C23</f>
        <v>57600</v>
      </c>
      <c r="P23" s="76">
        <f>'Закупки и склад'!P$16*$C23</f>
        <v>0</v>
      </c>
      <c r="Q23" s="76">
        <f>'Закупки и склад'!Q$16*$C23</f>
        <v>57600</v>
      </c>
      <c r="R23" s="76">
        <f>'Закупки и склад'!R$16*$C23</f>
        <v>57600</v>
      </c>
      <c r="S23" s="76">
        <f>'Закупки и склад'!S$16*$C23</f>
        <v>57600</v>
      </c>
      <c r="T23" s="76">
        <f>'Закупки и склад'!T$16*$C23</f>
        <v>57600</v>
      </c>
      <c r="U23" s="76">
        <f>'Закупки и склад'!U$16*$C23</f>
        <v>0</v>
      </c>
      <c r="V23" s="76">
        <f>'Закупки и склад'!V$16*$C23</f>
        <v>57600</v>
      </c>
      <c r="W23" s="76">
        <f>'Закупки и склад'!W$16*$C23</f>
        <v>57600</v>
      </c>
    </row>
    <row r="24" spans="1:23" x14ac:dyDescent="0.25">
      <c r="A24" s="73" t="str">
        <f>""&amp;Допущения!$D$38</f>
        <v>Автопылесос беспроводной</v>
      </c>
      <c r="B24" s="28" t="s">
        <v>108</v>
      </c>
      <c r="C24" s="81">
        <f>'Юнит-экономика'!$D$13</f>
        <v>220</v>
      </c>
      <c r="D24" s="75">
        <f t="shared" si="4"/>
        <v>429000</v>
      </c>
      <c r="E24" s="76"/>
      <c r="F24" s="76">
        <f>'Закупки и склад'!F$17*$C24</f>
        <v>0</v>
      </c>
      <c r="G24" s="76">
        <f>'Закупки и склад'!G$17*$C24</f>
        <v>0</v>
      </c>
      <c r="H24" s="76">
        <f>'Закупки и склад'!H$17*$C24</f>
        <v>33000</v>
      </c>
      <c r="I24" s="76">
        <f>'Закупки и склад'!I$17*$C24</f>
        <v>33000</v>
      </c>
      <c r="J24" s="76">
        <f>'Закупки и склад'!J$17*$C24</f>
        <v>0</v>
      </c>
      <c r="K24" s="76">
        <f>'Закупки и склад'!K$17*$C24</f>
        <v>33000</v>
      </c>
      <c r="L24" s="76">
        <f>'Закупки и склад'!L$17*$C24</f>
        <v>33000</v>
      </c>
      <c r="M24" s="76">
        <f>'Закупки и склад'!M$17*$C24</f>
        <v>33000</v>
      </c>
      <c r="N24" s="76">
        <f>'Закупки и склад'!N$17*$C24</f>
        <v>33000</v>
      </c>
      <c r="O24" s="76">
        <f>'Закупки и склад'!O$17*$C24</f>
        <v>0</v>
      </c>
      <c r="P24" s="76">
        <f>'Закупки и склад'!P$17*$C24</f>
        <v>33000</v>
      </c>
      <c r="Q24" s="76">
        <f>'Закупки и склад'!Q$17*$C24</f>
        <v>33000</v>
      </c>
      <c r="R24" s="76">
        <f>'Закупки и склад'!R$17*$C24</f>
        <v>33000</v>
      </c>
      <c r="S24" s="76">
        <f>'Закупки и склад'!S$17*$C24</f>
        <v>33000</v>
      </c>
      <c r="T24" s="76">
        <f>'Закупки и склад'!T$17*$C24</f>
        <v>33000</v>
      </c>
      <c r="U24" s="76">
        <f>'Закупки и склад'!U$17*$C24</f>
        <v>33000</v>
      </c>
      <c r="V24" s="76">
        <f>'Закупки и склад'!V$17*$C24</f>
        <v>0</v>
      </c>
      <c r="W24" s="76">
        <f>'Закупки и склад'!W$17*$C24</f>
        <v>33000</v>
      </c>
    </row>
    <row r="25" spans="1:23" x14ac:dyDescent="0.25">
      <c r="A25" s="73" t="str">
        <f>""&amp;Допущения!$E$38</f>
        <v>Держатель телефона MagSafe</v>
      </c>
      <c r="B25" s="28" t="s">
        <v>108</v>
      </c>
      <c r="C25" s="81">
        <f>'Юнит-экономика'!$E$13</f>
        <v>66</v>
      </c>
      <c r="D25" s="75">
        <f t="shared" si="4"/>
        <v>277200</v>
      </c>
      <c r="E25" s="76"/>
      <c r="F25" s="76">
        <f>'Закупки и склад'!F$18*$C25</f>
        <v>0</v>
      </c>
      <c r="G25" s="76">
        <f>'Закупки и склад'!G$18*$C25</f>
        <v>0</v>
      </c>
      <c r="H25" s="76">
        <f>'Закупки и склад'!H$18*$C25</f>
        <v>19800</v>
      </c>
      <c r="I25" s="76">
        <f>'Закупки и склад'!I$18*$C25</f>
        <v>19800</v>
      </c>
      <c r="J25" s="76">
        <f>'Закупки и склад'!J$18*$C25</f>
        <v>19800</v>
      </c>
      <c r="K25" s="76">
        <f>'Закупки и склад'!K$18*$C25</f>
        <v>0</v>
      </c>
      <c r="L25" s="76">
        <f>'Закупки и склад'!L$18*$C25</f>
        <v>19800</v>
      </c>
      <c r="M25" s="76">
        <f>'Закупки и склад'!M$18*$C25</f>
        <v>19800</v>
      </c>
      <c r="N25" s="76">
        <f>'Закупки и склад'!N$18*$C25</f>
        <v>19800</v>
      </c>
      <c r="O25" s="76">
        <f>'Закупки и склад'!O$18*$C25</f>
        <v>19800</v>
      </c>
      <c r="P25" s="76">
        <f>'Закупки и склад'!P$18*$C25</f>
        <v>19800</v>
      </c>
      <c r="Q25" s="76">
        <f>'Закупки и склад'!Q$18*$C25</f>
        <v>19800</v>
      </c>
      <c r="R25" s="76">
        <f>'Закупки и склад'!R$18*$C25</f>
        <v>19800</v>
      </c>
      <c r="S25" s="76">
        <f>'Закупки и склад'!S$18*$C25</f>
        <v>19800</v>
      </c>
      <c r="T25" s="76">
        <f>'Закупки и склад'!T$18*$C25</f>
        <v>19800</v>
      </c>
      <c r="U25" s="76">
        <f>'Закупки и склад'!U$18*$C25</f>
        <v>19800</v>
      </c>
      <c r="V25" s="76">
        <f>'Закупки и склад'!V$18*$C25</f>
        <v>0</v>
      </c>
      <c r="W25" s="76">
        <f>'Закупки и склад'!W$18*$C25</f>
        <v>19800</v>
      </c>
    </row>
    <row r="26" spans="1:23" x14ac:dyDescent="0.25">
      <c r="A26" s="73" t="str">
        <f>""&amp;Допущения!$F$38</f>
        <v>Чехлы на сиденья, комплект</v>
      </c>
      <c r="B26" s="28" t="s">
        <v>108</v>
      </c>
      <c r="C26" s="81">
        <f>'Юнит-экономика'!$F$13</f>
        <v>572</v>
      </c>
      <c r="D26" s="75">
        <f t="shared" si="4"/>
        <v>572000</v>
      </c>
      <c r="E26" s="76"/>
      <c r="F26" s="76">
        <f>'Закупки и склад'!F$19*$C26</f>
        <v>0</v>
      </c>
      <c r="G26" s="76">
        <f>'Закупки и склад'!G$19*$C26</f>
        <v>0</v>
      </c>
      <c r="H26" s="76">
        <f>'Закупки и склад'!H$19*$C26</f>
        <v>57200</v>
      </c>
      <c r="I26" s="76">
        <f>'Закупки и склад'!I$19*$C26</f>
        <v>0</v>
      </c>
      <c r="J26" s="76">
        <f>'Закупки и склад'!J$19*$C26</f>
        <v>57200</v>
      </c>
      <c r="K26" s="76">
        <f>'Закупки и склад'!K$19*$C26</f>
        <v>57200</v>
      </c>
      <c r="L26" s="76">
        <f>'Закупки и склад'!L$19*$C26</f>
        <v>0</v>
      </c>
      <c r="M26" s="76">
        <f>'Закупки и склад'!M$19*$C26</f>
        <v>57200</v>
      </c>
      <c r="N26" s="76">
        <f>'Закупки и склад'!N$19*$C26</f>
        <v>0</v>
      </c>
      <c r="O26" s="76">
        <f>'Закупки и склад'!O$19*$C26</f>
        <v>57200</v>
      </c>
      <c r="P26" s="76">
        <f>'Закупки и склад'!P$19*$C26</f>
        <v>57200</v>
      </c>
      <c r="Q26" s="76">
        <f>'Закупки и склад'!Q$19*$C26</f>
        <v>0</v>
      </c>
      <c r="R26" s="76">
        <f>'Закупки и склад'!R$19*$C26</f>
        <v>57200</v>
      </c>
      <c r="S26" s="76">
        <f>'Закупки и склад'!S$19*$C26</f>
        <v>57200</v>
      </c>
      <c r="T26" s="76">
        <f>'Закупки и склад'!T$19*$C26</f>
        <v>0</v>
      </c>
      <c r="U26" s="76">
        <f>'Закупки и склад'!U$19*$C26</f>
        <v>57200</v>
      </c>
      <c r="V26" s="76">
        <f>'Закупки и склад'!V$19*$C26</f>
        <v>0</v>
      </c>
      <c r="W26" s="76">
        <f>'Закупки и склад'!W$19*$C26</f>
        <v>57200</v>
      </c>
    </row>
    <row r="27" spans="1:23" x14ac:dyDescent="0.25">
      <c r="A27" s="73" t="str">
        <f>""&amp;Допущения!$G$38</f>
        <v>Видеорегистратор Wi-Fi</v>
      </c>
      <c r="B27" s="28" t="s">
        <v>108</v>
      </c>
      <c r="C27" s="81">
        <f>'Юнит-экономика'!$G$13</f>
        <v>88</v>
      </c>
      <c r="D27" s="75">
        <f t="shared" si="4"/>
        <v>132000</v>
      </c>
      <c r="E27" s="76"/>
      <c r="F27" s="76">
        <f>'Закупки и склад'!F$20*$C27</f>
        <v>0</v>
      </c>
      <c r="G27" s="76">
        <f>'Закупки и склад'!G$20*$C27</f>
        <v>0</v>
      </c>
      <c r="H27" s="76">
        <f>'Закупки и склад'!H$20*$C27</f>
        <v>8800</v>
      </c>
      <c r="I27" s="76">
        <f>'Закупки и склад'!I$20*$C27</f>
        <v>8800</v>
      </c>
      <c r="J27" s="76">
        <f>'Закупки и склад'!J$20*$C27</f>
        <v>8800</v>
      </c>
      <c r="K27" s="76">
        <f>'Закупки и склад'!K$20*$C27</f>
        <v>8800</v>
      </c>
      <c r="L27" s="76">
        <f>'Закупки и склад'!L$20*$C27</f>
        <v>0</v>
      </c>
      <c r="M27" s="76">
        <f>'Закупки и склад'!M$20*$C27</f>
        <v>8800</v>
      </c>
      <c r="N27" s="76">
        <f>'Закупки и склад'!N$20*$C27</f>
        <v>8800</v>
      </c>
      <c r="O27" s="76">
        <f>'Закупки и склад'!O$20*$C27</f>
        <v>8800</v>
      </c>
      <c r="P27" s="76">
        <f>'Закупки и склад'!P$20*$C27</f>
        <v>8800</v>
      </c>
      <c r="Q27" s="76">
        <f>'Закупки и склад'!Q$20*$C27</f>
        <v>8800</v>
      </c>
      <c r="R27" s="76">
        <f>'Закупки и склад'!R$20*$C27</f>
        <v>8800</v>
      </c>
      <c r="S27" s="76">
        <f>'Закупки и склад'!S$20*$C27</f>
        <v>8800</v>
      </c>
      <c r="T27" s="76">
        <f>'Закупки и склад'!T$20*$C27</f>
        <v>8800</v>
      </c>
      <c r="U27" s="76">
        <f>'Закупки и склад'!U$20*$C27</f>
        <v>8800</v>
      </c>
      <c r="V27" s="76">
        <f>'Закупки и склад'!V$20*$C27</f>
        <v>8800</v>
      </c>
      <c r="W27" s="76">
        <f>'Закупки и склад'!W$20*$C27</f>
        <v>8800</v>
      </c>
    </row>
    <row r="28" spans="1:23" x14ac:dyDescent="0.25">
      <c r="A28" s="59" t="s">
        <v>279</v>
      </c>
      <c r="B28" s="60" t="s">
        <v>108</v>
      </c>
      <c r="C28" s="77"/>
      <c r="D28" s="75">
        <f t="shared" si="4"/>
        <v>433790</v>
      </c>
      <c r="E28" s="75"/>
      <c r="F28" s="75">
        <f t="shared" ref="F28:W28" si="7">SUM(F29:F33)</f>
        <v>0</v>
      </c>
      <c r="G28" s="75">
        <f t="shared" si="7"/>
        <v>0</v>
      </c>
      <c r="H28" s="75">
        <f t="shared" si="7"/>
        <v>38630</v>
      </c>
      <c r="I28" s="75">
        <f t="shared" si="7"/>
        <v>20310</v>
      </c>
      <c r="J28" s="75">
        <f t="shared" si="7"/>
        <v>18320</v>
      </c>
      <c r="K28" s="75">
        <f t="shared" si="7"/>
        <v>38630</v>
      </c>
      <c r="L28" s="75">
        <f t="shared" si="7"/>
        <v>20310</v>
      </c>
      <c r="M28" s="75">
        <f t="shared" si="7"/>
        <v>25190</v>
      </c>
      <c r="N28" s="75">
        <f t="shared" si="7"/>
        <v>20310</v>
      </c>
      <c r="O28" s="75">
        <f t="shared" si="7"/>
        <v>31760</v>
      </c>
      <c r="P28" s="75">
        <f t="shared" si="7"/>
        <v>25190</v>
      </c>
      <c r="Q28" s="75">
        <f t="shared" si="7"/>
        <v>20310</v>
      </c>
      <c r="R28" s="75">
        <f t="shared" si="7"/>
        <v>38630</v>
      </c>
      <c r="S28" s="75">
        <f t="shared" si="7"/>
        <v>38630</v>
      </c>
      <c r="T28" s="75">
        <f t="shared" si="7"/>
        <v>20310</v>
      </c>
      <c r="U28" s="75">
        <f t="shared" si="7"/>
        <v>25190</v>
      </c>
      <c r="V28" s="75">
        <f t="shared" si="7"/>
        <v>13440</v>
      </c>
      <c r="W28" s="75">
        <f t="shared" si="7"/>
        <v>38630</v>
      </c>
    </row>
    <row r="29" spans="1:23" x14ac:dyDescent="0.25">
      <c r="A29" s="73" t="str">
        <f>""&amp;Допущения!$C$38</f>
        <v>Органайзер в багажник</v>
      </c>
      <c r="B29" s="28" t="s">
        <v>108</v>
      </c>
      <c r="C29" s="81">
        <f>'Юнит-экономика'!$C$15</f>
        <v>67.2</v>
      </c>
      <c r="D29" s="75">
        <f t="shared" si="4"/>
        <v>161280</v>
      </c>
      <c r="E29" s="76"/>
      <c r="F29" s="76">
        <f>'Закупки и склад'!F$16*$C29</f>
        <v>0</v>
      </c>
      <c r="G29" s="76">
        <f>'Закупки и склад'!G$16*$C29</f>
        <v>0</v>
      </c>
      <c r="H29" s="76">
        <f>'Закупки и склад'!H$16*$C29</f>
        <v>13440</v>
      </c>
      <c r="I29" s="76">
        <f>'Закупки и склад'!I$16*$C29</f>
        <v>13440</v>
      </c>
      <c r="J29" s="76">
        <f>'Закупки и склад'!J$16*$C29</f>
        <v>0</v>
      </c>
      <c r="K29" s="76">
        <f>'Закупки и склад'!K$16*$C29</f>
        <v>13440</v>
      </c>
      <c r="L29" s="76">
        <f>'Закупки и склад'!L$16*$C29</f>
        <v>13440</v>
      </c>
      <c r="M29" s="76">
        <f>'Закупки и склад'!M$16*$C29</f>
        <v>0</v>
      </c>
      <c r="N29" s="76">
        <f>'Закупки и склад'!N$16*$C29</f>
        <v>13440</v>
      </c>
      <c r="O29" s="76">
        <f>'Закупки и склад'!O$16*$C29</f>
        <v>13440</v>
      </c>
      <c r="P29" s="76">
        <f>'Закупки и склад'!P$16*$C29</f>
        <v>0</v>
      </c>
      <c r="Q29" s="76">
        <f>'Закупки и склад'!Q$16*$C29</f>
        <v>13440</v>
      </c>
      <c r="R29" s="76">
        <f>'Закупки и склад'!R$16*$C29</f>
        <v>13440</v>
      </c>
      <c r="S29" s="76">
        <f>'Закупки и склад'!S$16*$C29</f>
        <v>13440</v>
      </c>
      <c r="T29" s="76">
        <f>'Закупки и склад'!T$16*$C29</f>
        <v>13440</v>
      </c>
      <c r="U29" s="76">
        <f>'Закупки и склад'!U$16*$C29</f>
        <v>0</v>
      </c>
      <c r="V29" s="76">
        <f>'Закупки и склад'!V$16*$C29</f>
        <v>13440</v>
      </c>
      <c r="W29" s="76">
        <f>'Закупки и склад'!W$16*$C29</f>
        <v>13440</v>
      </c>
    </row>
    <row r="30" spans="1:23" x14ac:dyDescent="0.25">
      <c r="A30" s="73" t="str">
        <f>""&amp;Допущения!$D$38</f>
        <v>Автопылесос беспроводной</v>
      </c>
      <c r="B30" s="28" t="s">
        <v>108</v>
      </c>
      <c r="C30" s="81">
        <f>'Юнит-экономика'!$D$15</f>
        <v>45.800000000000004</v>
      </c>
      <c r="D30" s="75">
        <f t="shared" si="4"/>
        <v>89310.000000000015</v>
      </c>
      <c r="E30" s="76"/>
      <c r="F30" s="76">
        <f>'Закупки и склад'!F$17*$C30</f>
        <v>0</v>
      </c>
      <c r="G30" s="76">
        <f>'Закупки и склад'!G$17*$C30</f>
        <v>0</v>
      </c>
      <c r="H30" s="76">
        <f>'Закупки и склад'!H$17*$C30</f>
        <v>6870.0000000000009</v>
      </c>
      <c r="I30" s="76">
        <f>'Закупки и склад'!I$17*$C30</f>
        <v>6870.0000000000009</v>
      </c>
      <c r="J30" s="76">
        <f>'Закупки и склад'!J$17*$C30</f>
        <v>0</v>
      </c>
      <c r="K30" s="76">
        <f>'Закупки и склад'!K$17*$C30</f>
        <v>6870.0000000000009</v>
      </c>
      <c r="L30" s="76">
        <f>'Закупки и склад'!L$17*$C30</f>
        <v>6870.0000000000009</v>
      </c>
      <c r="M30" s="76">
        <f>'Закупки и склад'!M$17*$C30</f>
        <v>6870.0000000000009</v>
      </c>
      <c r="N30" s="76">
        <f>'Закупки и склад'!N$17*$C30</f>
        <v>6870.0000000000009</v>
      </c>
      <c r="O30" s="76">
        <f>'Закупки и склад'!O$17*$C30</f>
        <v>0</v>
      </c>
      <c r="P30" s="76">
        <f>'Закупки и склад'!P$17*$C30</f>
        <v>6870.0000000000009</v>
      </c>
      <c r="Q30" s="76">
        <f>'Закупки и склад'!Q$17*$C30</f>
        <v>6870.0000000000009</v>
      </c>
      <c r="R30" s="76">
        <f>'Закупки и склад'!R$17*$C30</f>
        <v>6870.0000000000009</v>
      </c>
      <c r="S30" s="76">
        <f>'Закупки и склад'!S$17*$C30</f>
        <v>6870.0000000000009</v>
      </c>
      <c r="T30" s="76">
        <f>'Закупки и склад'!T$17*$C30</f>
        <v>6870.0000000000009</v>
      </c>
      <c r="U30" s="76">
        <f>'Закупки и склад'!U$17*$C30</f>
        <v>6870.0000000000009</v>
      </c>
      <c r="V30" s="76">
        <f>'Закупки и склад'!V$17*$C30</f>
        <v>0</v>
      </c>
      <c r="W30" s="76">
        <f>'Закупки и склад'!W$17*$C30</f>
        <v>6870.0000000000009</v>
      </c>
    </row>
    <row r="31" spans="1:23" x14ac:dyDescent="0.25">
      <c r="A31" s="73" t="str">
        <f>""&amp;Допущения!$E$38</f>
        <v>Держатель телефона MagSafe</v>
      </c>
      <c r="B31" s="28" t="s">
        <v>108</v>
      </c>
      <c r="C31" s="81">
        <f>'Юнит-экономика'!$E$15</f>
        <v>0</v>
      </c>
      <c r="D31" s="75">
        <f t="shared" si="4"/>
        <v>0</v>
      </c>
      <c r="E31" s="76"/>
      <c r="F31" s="76">
        <f>'Закупки и склад'!F$18*$C31</f>
        <v>0</v>
      </c>
      <c r="G31" s="76">
        <f>'Закупки и склад'!G$18*$C31</f>
        <v>0</v>
      </c>
      <c r="H31" s="76">
        <f>'Закупки и склад'!H$18*$C31</f>
        <v>0</v>
      </c>
      <c r="I31" s="76">
        <f>'Закупки и склад'!I$18*$C31</f>
        <v>0</v>
      </c>
      <c r="J31" s="76">
        <f>'Закупки и склад'!J$18*$C31</f>
        <v>0</v>
      </c>
      <c r="K31" s="76">
        <f>'Закупки и склад'!K$18*$C31</f>
        <v>0</v>
      </c>
      <c r="L31" s="76">
        <f>'Закупки и склад'!L$18*$C31</f>
        <v>0</v>
      </c>
      <c r="M31" s="76">
        <f>'Закупки и склад'!M$18*$C31</f>
        <v>0</v>
      </c>
      <c r="N31" s="76">
        <f>'Закупки и склад'!N$18*$C31</f>
        <v>0</v>
      </c>
      <c r="O31" s="76">
        <f>'Закупки и склад'!O$18*$C31</f>
        <v>0</v>
      </c>
      <c r="P31" s="76">
        <f>'Закупки и склад'!P$18*$C31</f>
        <v>0</v>
      </c>
      <c r="Q31" s="76">
        <f>'Закупки и склад'!Q$18*$C31</f>
        <v>0</v>
      </c>
      <c r="R31" s="76">
        <f>'Закупки и склад'!R$18*$C31</f>
        <v>0</v>
      </c>
      <c r="S31" s="76">
        <f>'Закупки и склад'!S$18*$C31</f>
        <v>0</v>
      </c>
      <c r="T31" s="76">
        <f>'Закупки и склад'!T$18*$C31</f>
        <v>0</v>
      </c>
      <c r="U31" s="76">
        <f>'Закупки и склад'!U$18*$C31</f>
        <v>0</v>
      </c>
      <c r="V31" s="76">
        <f>'Закупки и склад'!V$18*$C31</f>
        <v>0</v>
      </c>
      <c r="W31" s="76">
        <f>'Закупки и склад'!W$18*$C31</f>
        <v>0</v>
      </c>
    </row>
    <row r="32" spans="1:23" x14ac:dyDescent="0.25">
      <c r="A32" s="73" t="str">
        <f>""&amp;Допущения!$F$38</f>
        <v>Чехлы на сиденья, комплект</v>
      </c>
      <c r="B32" s="28" t="s">
        <v>108</v>
      </c>
      <c r="C32" s="81">
        <f>'Юнит-экономика'!$F$15</f>
        <v>183.20000000000002</v>
      </c>
      <c r="D32" s="75">
        <f t="shared" si="4"/>
        <v>183200</v>
      </c>
      <c r="E32" s="76"/>
      <c r="F32" s="76">
        <f>'Закупки и склад'!F$19*$C32</f>
        <v>0</v>
      </c>
      <c r="G32" s="76">
        <f>'Закупки и склад'!G$19*$C32</f>
        <v>0</v>
      </c>
      <c r="H32" s="76">
        <f>'Закупки и склад'!H$19*$C32</f>
        <v>18320</v>
      </c>
      <c r="I32" s="76">
        <f>'Закупки и склад'!I$19*$C32</f>
        <v>0</v>
      </c>
      <c r="J32" s="76">
        <f>'Закупки и склад'!J$19*$C32</f>
        <v>18320</v>
      </c>
      <c r="K32" s="76">
        <f>'Закупки и склад'!K$19*$C32</f>
        <v>18320</v>
      </c>
      <c r="L32" s="76">
        <f>'Закупки и склад'!L$19*$C32</f>
        <v>0</v>
      </c>
      <c r="M32" s="76">
        <f>'Закупки и склад'!M$19*$C32</f>
        <v>18320</v>
      </c>
      <c r="N32" s="76">
        <f>'Закупки и склад'!N$19*$C32</f>
        <v>0</v>
      </c>
      <c r="O32" s="76">
        <f>'Закупки и склад'!O$19*$C32</f>
        <v>18320</v>
      </c>
      <c r="P32" s="76">
        <f>'Закупки и склад'!P$19*$C32</f>
        <v>18320</v>
      </c>
      <c r="Q32" s="76">
        <f>'Закупки и склад'!Q$19*$C32</f>
        <v>0</v>
      </c>
      <c r="R32" s="76">
        <f>'Закупки и склад'!R$19*$C32</f>
        <v>18320</v>
      </c>
      <c r="S32" s="76">
        <f>'Закупки и склад'!S$19*$C32</f>
        <v>18320</v>
      </c>
      <c r="T32" s="76">
        <f>'Закупки и склад'!T$19*$C32</f>
        <v>0</v>
      </c>
      <c r="U32" s="76">
        <f>'Закупки и склад'!U$19*$C32</f>
        <v>18320</v>
      </c>
      <c r="V32" s="76">
        <f>'Закупки и склад'!V$19*$C32</f>
        <v>0</v>
      </c>
      <c r="W32" s="76">
        <f>'Закупки и склад'!W$19*$C32</f>
        <v>18320</v>
      </c>
    </row>
    <row r="33" spans="1:23" x14ac:dyDescent="0.25">
      <c r="A33" s="73" t="str">
        <f>""&amp;Допущения!$G$38</f>
        <v>Видеорегистратор Wi-Fi</v>
      </c>
      <c r="B33" s="28" t="s">
        <v>108</v>
      </c>
      <c r="C33" s="81">
        <f>'Юнит-экономика'!$G$15</f>
        <v>0</v>
      </c>
      <c r="D33" s="75">
        <f t="shared" si="4"/>
        <v>0</v>
      </c>
      <c r="E33" s="76"/>
      <c r="F33" s="76">
        <f>'Закупки и склад'!F$20*$C33</f>
        <v>0</v>
      </c>
      <c r="G33" s="76">
        <f>'Закупки и склад'!G$20*$C33</f>
        <v>0</v>
      </c>
      <c r="H33" s="76">
        <f>'Закупки и склад'!H$20*$C33</f>
        <v>0</v>
      </c>
      <c r="I33" s="76">
        <f>'Закупки и склад'!I$20*$C33</f>
        <v>0</v>
      </c>
      <c r="J33" s="76">
        <f>'Закупки и склад'!J$20*$C33</f>
        <v>0</v>
      </c>
      <c r="K33" s="76">
        <f>'Закупки и склад'!K$20*$C33</f>
        <v>0</v>
      </c>
      <c r="L33" s="76">
        <f>'Закупки и склад'!L$20*$C33</f>
        <v>0</v>
      </c>
      <c r="M33" s="76">
        <f>'Закупки и склад'!M$20*$C33</f>
        <v>0</v>
      </c>
      <c r="N33" s="76">
        <f>'Закупки и склад'!N$20*$C33</f>
        <v>0</v>
      </c>
      <c r="O33" s="76">
        <f>'Закупки и склад'!O$20*$C33</f>
        <v>0</v>
      </c>
      <c r="P33" s="76">
        <f>'Закупки и склад'!P$20*$C33</f>
        <v>0</v>
      </c>
      <c r="Q33" s="76">
        <f>'Закупки и склад'!Q$20*$C33</f>
        <v>0</v>
      </c>
      <c r="R33" s="76">
        <f>'Закупки и склад'!R$20*$C33</f>
        <v>0</v>
      </c>
      <c r="S33" s="76">
        <f>'Закупки и склад'!S$20*$C33</f>
        <v>0</v>
      </c>
      <c r="T33" s="76">
        <f>'Закупки и склад'!T$20*$C33</f>
        <v>0</v>
      </c>
      <c r="U33" s="76">
        <f>'Закупки и склад'!U$20*$C33</f>
        <v>0</v>
      </c>
      <c r="V33" s="76">
        <f>'Закупки и склад'!V$20*$C33</f>
        <v>0</v>
      </c>
      <c r="W33" s="76">
        <f>'Закупки и склад'!W$20*$C33</f>
        <v>0</v>
      </c>
    </row>
    <row r="34" spans="1:23" x14ac:dyDescent="0.25">
      <c r="A34" s="59" t="s">
        <v>280</v>
      </c>
      <c r="B34" s="60" t="s">
        <v>108</v>
      </c>
      <c r="C34" s="77"/>
      <c r="D34" s="75">
        <f t="shared" si="4"/>
        <v>1968293.8000000003</v>
      </c>
      <c r="E34" s="75"/>
      <c r="F34" s="75">
        <f t="shared" ref="F34:W34" si="8">SUM(F35:F39)</f>
        <v>0</v>
      </c>
      <c r="G34" s="75">
        <f t="shared" si="8"/>
        <v>0</v>
      </c>
      <c r="H34" s="75">
        <f t="shared" si="8"/>
        <v>158186.6</v>
      </c>
      <c r="I34" s="75">
        <f t="shared" si="8"/>
        <v>113852.20000000001</v>
      </c>
      <c r="J34" s="75">
        <f t="shared" si="8"/>
        <v>93922.4</v>
      </c>
      <c r="K34" s="75">
        <f t="shared" si="8"/>
        <v>136406.6</v>
      </c>
      <c r="L34" s="75">
        <f t="shared" si="8"/>
        <v>86044.200000000012</v>
      </c>
      <c r="M34" s="75">
        <f t="shared" si="8"/>
        <v>125661.8</v>
      </c>
      <c r="N34" s="75">
        <f t="shared" si="8"/>
        <v>113852.20000000001</v>
      </c>
      <c r="O34" s="75">
        <f t="shared" si="8"/>
        <v>126447.20000000001</v>
      </c>
      <c r="P34" s="75">
        <f t="shared" si="8"/>
        <v>125661.8</v>
      </c>
      <c r="Q34" s="75">
        <f t="shared" si="8"/>
        <v>113852.20000000001</v>
      </c>
      <c r="R34" s="75">
        <f t="shared" si="8"/>
        <v>158186.6</v>
      </c>
      <c r="S34" s="75">
        <f t="shared" si="8"/>
        <v>158186.6</v>
      </c>
      <c r="T34" s="75">
        <f t="shared" si="8"/>
        <v>113852.20000000001</v>
      </c>
      <c r="U34" s="75">
        <f t="shared" si="8"/>
        <v>125661.8</v>
      </c>
      <c r="V34" s="75">
        <f t="shared" si="8"/>
        <v>60332.800000000003</v>
      </c>
      <c r="W34" s="75">
        <f t="shared" si="8"/>
        <v>158186.6</v>
      </c>
    </row>
    <row r="35" spans="1:23" x14ac:dyDescent="0.25">
      <c r="A35" s="73" t="str">
        <f>""&amp;Допущения!$C$38</f>
        <v>Органайзер в багажник</v>
      </c>
      <c r="B35" s="28" t="s">
        <v>108</v>
      </c>
      <c r="C35" s="81">
        <f>'Юнит-экономика'!$C$16</f>
        <v>162.62400000000002</v>
      </c>
      <c r="D35" s="75">
        <f t="shared" si="4"/>
        <v>390297.59999999992</v>
      </c>
      <c r="E35" s="76"/>
      <c r="F35" s="76">
        <f>'Закупки и склад'!F$16*$C35</f>
        <v>0</v>
      </c>
      <c r="G35" s="76">
        <f>'Закупки и склад'!G$16*$C35</f>
        <v>0</v>
      </c>
      <c r="H35" s="76">
        <f>'Закупки и склад'!H$16*$C35</f>
        <v>32524.800000000003</v>
      </c>
      <c r="I35" s="76">
        <f>'Закупки и склад'!I$16*$C35</f>
        <v>32524.800000000003</v>
      </c>
      <c r="J35" s="76">
        <f>'Закупки и склад'!J$16*$C35</f>
        <v>0</v>
      </c>
      <c r="K35" s="76">
        <f>'Закупки и склад'!K$16*$C35</f>
        <v>32524.800000000003</v>
      </c>
      <c r="L35" s="76">
        <f>'Закупки и склад'!L$16*$C35</f>
        <v>32524.800000000003</v>
      </c>
      <c r="M35" s="76">
        <f>'Закупки и склад'!M$16*$C35</f>
        <v>0</v>
      </c>
      <c r="N35" s="76">
        <f>'Закупки и склад'!N$16*$C35</f>
        <v>32524.800000000003</v>
      </c>
      <c r="O35" s="76">
        <f>'Закупки и склад'!O$16*$C35</f>
        <v>32524.800000000003</v>
      </c>
      <c r="P35" s="76">
        <f>'Закупки и склад'!P$16*$C35</f>
        <v>0</v>
      </c>
      <c r="Q35" s="76">
        <f>'Закупки и склад'!Q$16*$C35</f>
        <v>32524.800000000003</v>
      </c>
      <c r="R35" s="76">
        <f>'Закупки и склад'!R$16*$C35</f>
        <v>32524.800000000003</v>
      </c>
      <c r="S35" s="76">
        <f>'Закупки и склад'!S$16*$C35</f>
        <v>32524.800000000003</v>
      </c>
      <c r="T35" s="76">
        <f>'Закупки и склад'!T$16*$C35</f>
        <v>32524.800000000003</v>
      </c>
      <c r="U35" s="76">
        <f>'Закупки и склад'!U$16*$C35</f>
        <v>0</v>
      </c>
      <c r="V35" s="76">
        <f>'Закупки и склад'!V$16*$C35</f>
        <v>32524.800000000003</v>
      </c>
      <c r="W35" s="76">
        <f>'Закупки и склад'!W$16*$C35</f>
        <v>32524.800000000003</v>
      </c>
    </row>
    <row r="36" spans="1:23" x14ac:dyDescent="0.25">
      <c r="A36" s="73" t="str">
        <f>""&amp;Допущения!$D$38</f>
        <v>Автопылесос беспроводной</v>
      </c>
      <c r="B36" s="28" t="s">
        <v>108</v>
      </c>
      <c r="C36" s="81">
        <f>'Юнит-экономика'!$D$16</f>
        <v>211.596</v>
      </c>
      <c r="D36" s="75">
        <f t="shared" si="4"/>
        <v>412612.20000000007</v>
      </c>
      <c r="E36" s="76"/>
      <c r="F36" s="76">
        <f>'Закупки и склад'!F$17*$C36</f>
        <v>0</v>
      </c>
      <c r="G36" s="76">
        <f>'Закупки и склад'!G$17*$C36</f>
        <v>0</v>
      </c>
      <c r="H36" s="76">
        <f>'Закупки и склад'!H$17*$C36</f>
        <v>31739.4</v>
      </c>
      <c r="I36" s="76">
        <f>'Закупки и склад'!I$17*$C36</f>
        <v>31739.4</v>
      </c>
      <c r="J36" s="76">
        <f>'Закупки и склад'!J$17*$C36</f>
        <v>0</v>
      </c>
      <c r="K36" s="76">
        <f>'Закупки и склад'!K$17*$C36</f>
        <v>31739.4</v>
      </c>
      <c r="L36" s="76">
        <f>'Закупки и склад'!L$17*$C36</f>
        <v>31739.4</v>
      </c>
      <c r="M36" s="76">
        <f>'Закупки и склад'!M$17*$C36</f>
        <v>31739.4</v>
      </c>
      <c r="N36" s="76">
        <f>'Закупки и склад'!N$17*$C36</f>
        <v>31739.4</v>
      </c>
      <c r="O36" s="76">
        <f>'Закупки и склад'!O$17*$C36</f>
        <v>0</v>
      </c>
      <c r="P36" s="76">
        <f>'Закупки и склад'!P$17*$C36</f>
        <v>31739.4</v>
      </c>
      <c r="Q36" s="76">
        <f>'Закупки и склад'!Q$17*$C36</f>
        <v>31739.4</v>
      </c>
      <c r="R36" s="76">
        <f>'Закупки и склад'!R$17*$C36</f>
        <v>31739.4</v>
      </c>
      <c r="S36" s="76">
        <f>'Закупки и склад'!S$17*$C36</f>
        <v>31739.4</v>
      </c>
      <c r="T36" s="76">
        <f>'Закупки и склад'!T$17*$C36</f>
        <v>31739.4</v>
      </c>
      <c r="U36" s="76">
        <f>'Закупки и склад'!U$17*$C36</f>
        <v>31739.4</v>
      </c>
      <c r="V36" s="76">
        <f>'Закупки и склад'!V$17*$C36</f>
        <v>0</v>
      </c>
      <c r="W36" s="76">
        <f>'Закупки и склад'!W$17*$C36</f>
        <v>31739.4</v>
      </c>
    </row>
    <row r="37" spans="1:23" x14ac:dyDescent="0.25">
      <c r="A37" s="73" t="str">
        <f>""&amp;Допущения!$E$38</f>
        <v>Держатель телефона MagSafe</v>
      </c>
      <c r="B37" s="28" t="s">
        <v>108</v>
      </c>
      <c r="C37" s="81">
        <f>'Юнит-экономика'!$E$16</f>
        <v>72.599999999999994</v>
      </c>
      <c r="D37" s="75">
        <f t="shared" si="4"/>
        <v>304920</v>
      </c>
      <c r="E37" s="76"/>
      <c r="F37" s="76">
        <f>'Закупки и склад'!F$18*$C37</f>
        <v>0</v>
      </c>
      <c r="G37" s="76">
        <f>'Закупки и склад'!G$18*$C37</f>
        <v>0</v>
      </c>
      <c r="H37" s="76">
        <f>'Закупки и склад'!H$18*$C37</f>
        <v>21780</v>
      </c>
      <c r="I37" s="76">
        <f>'Закупки и склад'!I$18*$C37</f>
        <v>21780</v>
      </c>
      <c r="J37" s="76">
        <f>'Закупки и склад'!J$18*$C37</f>
        <v>21780</v>
      </c>
      <c r="K37" s="76">
        <f>'Закупки и склад'!K$18*$C37</f>
        <v>0</v>
      </c>
      <c r="L37" s="76">
        <f>'Закупки и склад'!L$18*$C37</f>
        <v>21780</v>
      </c>
      <c r="M37" s="76">
        <f>'Закупки и склад'!M$18*$C37</f>
        <v>21780</v>
      </c>
      <c r="N37" s="76">
        <f>'Закупки и склад'!N$18*$C37</f>
        <v>21780</v>
      </c>
      <c r="O37" s="76">
        <f>'Закупки и склад'!O$18*$C37</f>
        <v>21780</v>
      </c>
      <c r="P37" s="76">
        <f>'Закупки и склад'!P$18*$C37</f>
        <v>21780</v>
      </c>
      <c r="Q37" s="76">
        <f>'Закупки и склад'!Q$18*$C37</f>
        <v>21780</v>
      </c>
      <c r="R37" s="76">
        <f>'Закупки и склад'!R$18*$C37</f>
        <v>21780</v>
      </c>
      <c r="S37" s="76">
        <f>'Закупки и склад'!S$18*$C37</f>
        <v>21780</v>
      </c>
      <c r="T37" s="76">
        <f>'Закупки и склад'!T$18*$C37</f>
        <v>21780</v>
      </c>
      <c r="U37" s="76">
        <f>'Закупки и склад'!U$18*$C37</f>
        <v>21780</v>
      </c>
      <c r="V37" s="76">
        <f>'Закупки и склад'!V$18*$C37</f>
        <v>0</v>
      </c>
      <c r="W37" s="76">
        <f>'Закупки и склад'!W$18*$C37</f>
        <v>21780</v>
      </c>
    </row>
    <row r="38" spans="1:23" x14ac:dyDescent="0.25">
      <c r="A38" s="73" t="str">
        <f>""&amp;Допущения!$F$38</f>
        <v>Чехлы на сиденья, комплект</v>
      </c>
      <c r="B38" s="28" t="s">
        <v>108</v>
      </c>
      <c r="C38" s="81">
        <f>'Юнит-экономика'!$F$16</f>
        <v>443.34399999999999</v>
      </c>
      <c r="D38" s="75">
        <f t="shared" si="4"/>
        <v>443344.00000000012</v>
      </c>
      <c r="E38" s="76"/>
      <c r="F38" s="76">
        <f>'Закупки и склад'!F$19*$C38</f>
        <v>0</v>
      </c>
      <c r="G38" s="76">
        <f>'Закупки и склад'!G$19*$C38</f>
        <v>0</v>
      </c>
      <c r="H38" s="76">
        <f>'Закупки и склад'!H$19*$C38</f>
        <v>44334.400000000001</v>
      </c>
      <c r="I38" s="76">
        <f>'Закупки и склад'!I$19*$C38</f>
        <v>0</v>
      </c>
      <c r="J38" s="76">
        <f>'Закупки и склад'!J$19*$C38</f>
        <v>44334.400000000001</v>
      </c>
      <c r="K38" s="76">
        <f>'Закупки и склад'!K$19*$C38</f>
        <v>44334.400000000001</v>
      </c>
      <c r="L38" s="76">
        <f>'Закупки и склад'!L$19*$C38</f>
        <v>0</v>
      </c>
      <c r="M38" s="76">
        <f>'Закупки и склад'!M$19*$C38</f>
        <v>44334.400000000001</v>
      </c>
      <c r="N38" s="76">
        <f>'Закупки и склад'!N$19*$C38</f>
        <v>0</v>
      </c>
      <c r="O38" s="76">
        <f>'Закупки и склад'!O$19*$C38</f>
        <v>44334.400000000001</v>
      </c>
      <c r="P38" s="76">
        <f>'Закупки и склад'!P$19*$C38</f>
        <v>44334.400000000001</v>
      </c>
      <c r="Q38" s="76">
        <f>'Закупки и склад'!Q$19*$C38</f>
        <v>0</v>
      </c>
      <c r="R38" s="76">
        <f>'Закупки и склад'!R$19*$C38</f>
        <v>44334.400000000001</v>
      </c>
      <c r="S38" s="76">
        <f>'Закупки и склад'!S$19*$C38</f>
        <v>44334.400000000001</v>
      </c>
      <c r="T38" s="76">
        <f>'Закупки и склад'!T$19*$C38</f>
        <v>0</v>
      </c>
      <c r="U38" s="76">
        <f>'Закупки и склад'!U$19*$C38</f>
        <v>44334.400000000001</v>
      </c>
      <c r="V38" s="76">
        <f>'Закупки и склад'!V$19*$C38</f>
        <v>0</v>
      </c>
      <c r="W38" s="76">
        <f>'Закупки и склад'!W$19*$C38</f>
        <v>44334.400000000001</v>
      </c>
    </row>
    <row r="39" spans="1:23" x14ac:dyDescent="0.25">
      <c r="A39" s="73" t="str">
        <f>""&amp;Допущения!$G$38</f>
        <v>Видеорегистратор Wi-Fi</v>
      </c>
      <c r="B39" s="28" t="s">
        <v>108</v>
      </c>
      <c r="C39" s="81">
        <f>'Юнит-экономика'!$G$16</f>
        <v>278.08</v>
      </c>
      <c r="D39" s="75">
        <f t="shared" si="4"/>
        <v>417120</v>
      </c>
      <c r="E39" s="76"/>
      <c r="F39" s="76">
        <f>'Закупки и склад'!F$20*$C39</f>
        <v>0</v>
      </c>
      <c r="G39" s="76">
        <f>'Закупки и склад'!G$20*$C39</f>
        <v>0</v>
      </c>
      <c r="H39" s="76">
        <f>'Закупки и склад'!H$20*$C39</f>
        <v>27808</v>
      </c>
      <c r="I39" s="76">
        <f>'Закупки и склад'!I$20*$C39</f>
        <v>27808</v>
      </c>
      <c r="J39" s="76">
        <f>'Закупки и склад'!J$20*$C39</f>
        <v>27808</v>
      </c>
      <c r="K39" s="76">
        <f>'Закупки и склад'!K$20*$C39</f>
        <v>27808</v>
      </c>
      <c r="L39" s="76">
        <f>'Закупки и склад'!L$20*$C39</f>
        <v>0</v>
      </c>
      <c r="M39" s="76">
        <f>'Закупки и склад'!M$20*$C39</f>
        <v>27808</v>
      </c>
      <c r="N39" s="76">
        <f>'Закупки и склад'!N$20*$C39</f>
        <v>27808</v>
      </c>
      <c r="O39" s="76">
        <f>'Закупки и склад'!O$20*$C39</f>
        <v>27808</v>
      </c>
      <c r="P39" s="76">
        <f>'Закупки и склад'!P$20*$C39</f>
        <v>27808</v>
      </c>
      <c r="Q39" s="76">
        <f>'Закупки и склад'!Q$20*$C39</f>
        <v>27808</v>
      </c>
      <c r="R39" s="76">
        <f>'Закупки и склад'!R$20*$C39</f>
        <v>27808</v>
      </c>
      <c r="S39" s="76">
        <f>'Закупки и склад'!S$20*$C39</f>
        <v>27808</v>
      </c>
      <c r="T39" s="76">
        <f>'Закупки и склад'!T$20*$C39</f>
        <v>27808</v>
      </c>
      <c r="U39" s="76">
        <f>'Закупки и склад'!U$20*$C39</f>
        <v>27808</v>
      </c>
      <c r="V39" s="76">
        <f>'Закупки и склад'!V$20*$C39</f>
        <v>27808</v>
      </c>
      <c r="W39" s="76">
        <f>'Закупки и склад'!W$20*$C39</f>
        <v>27808</v>
      </c>
    </row>
    <row r="40" spans="1:23" x14ac:dyDescent="0.25">
      <c r="A40" s="59" t="s">
        <v>332</v>
      </c>
      <c r="B40" s="60" t="s">
        <v>108</v>
      </c>
      <c r="C40" s="77"/>
      <c r="D40" s="75">
        <f t="shared" si="4"/>
        <v>512000</v>
      </c>
      <c r="E40" s="75"/>
      <c r="F40" s="75">
        <f t="shared" ref="F40:W40" si="9">SUM(F41:F45)</f>
        <v>0</v>
      </c>
      <c r="G40" s="75">
        <f t="shared" si="9"/>
        <v>0</v>
      </c>
      <c r="H40" s="75">
        <f t="shared" si="9"/>
        <v>40000</v>
      </c>
      <c r="I40" s="75">
        <f t="shared" si="9"/>
        <v>32000</v>
      </c>
      <c r="J40" s="75">
        <f t="shared" si="9"/>
        <v>24000</v>
      </c>
      <c r="K40" s="75">
        <f t="shared" si="9"/>
        <v>32000</v>
      </c>
      <c r="L40" s="75">
        <f t="shared" si="9"/>
        <v>24000</v>
      </c>
      <c r="M40" s="75">
        <f t="shared" si="9"/>
        <v>32000</v>
      </c>
      <c r="N40" s="75">
        <f t="shared" si="9"/>
        <v>32000</v>
      </c>
      <c r="O40" s="75">
        <f t="shared" si="9"/>
        <v>32000</v>
      </c>
      <c r="P40" s="75">
        <f t="shared" si="9"/>
        <v>32000</v>
      </c>
      <c r="Q40" s="75">
        <f t="shared" si="9"/>
        <v>32000</v>
      </c>
      <c r="R40" s="75">
        <f t="shared" si="9"/>
        <v>40000</v>
      </c>
      <c r="S40" s="75">
        <f t="shared" si="9"/>
        <v>40000</v>
      </c>
      <c r="T40" s="75">
        <f t="shared" si="9"/>
        <v>32000</v>
      </c>
      <c r="U40" s="75">
        <f t="shared" si="9"/>
        <v>32000</v>
      </c>
      <c r="V40" s="75">
        <f t="shared" si="9"/>
        <v>16000</v>
      </c>
      <c r="W40" s="75">
        <f t="shared" si="9"/>
        <v>40000</v>
      </c>
    </row>
    <row r="41" spans="1:23" x14ac:dyDescent="0.25">
      <c r="A41" s="73" t="str">
        <f>""&amp;Допущения!$C$38</f>
        <v>Органайзер в багажник</v>
      </c>
      <c r="B41" s="28" t="s">
        <v>108</v>
      </c>
      <c r="C41" s="81">
        <f>'Юнит-экономика'!$C$17</f>
        <v>40</v>
      </c>
      <c r="D41" s="75">
        <f t="shared" si="4"/>
        <v>96000</v>
      </c>
      <c r="E41" s="76"/>
      <c r="F41" s="76">
        <f>'Закупки и склад'!F$16*$C41</f>
        <v>0</v>
      </c>
      <c r="G41" s="76">
        <f>'Закупки и склад'!G$16*$C41</f>
        <v>0</v>
      </c>
      <c r="H41" s="76">
        <f>'Закупки и склад'!H$16*$C41</f>
        <v>8000</v>
      </c>
      <c r="I41" s="76">
        <f>'Закупки и склад'!I$16*$C41</f>
        <v>8000</v>
      </c>
      <c r="J41" s="76">
        <f>'Закупки и склад'!J$16*$C41</f>
        <v>0</v>
      </c>
      <c r="K41" s="76">
        <f>'Закупки и склад'!K$16*$C41</f>
        <v>8000</v>
      </c>
      <c r="L41" s="76">
        <f>'Закупки и склад'!L$16*$C41</f>
        <v>8000</v>
      </c>
      <c r="M41" s="76">
        <f>'Закупки и склад'!M$16*$C41</f>
        <v>0</v>
      </c>
      <c r="N41" s="76">
        <f>'Закупки и склад'!N$16*$C41</f>
        <v>8000</v>
      </c>
      <c r="O41" s="76">
        <f>'Закупки и склад'!O$16*$C41</f>
        <v>8000</v>
      </c>
      <c r="P41" s="76">
        <f>'Закупки и склад'!P$16*$C41</f>
        <v>0</v>
      </c>
      <c r="Q41" s="76">
        <f>'Закупки и склад'!Q$16*$C41</f>
        <v>8000</v>
      </c>
      <c r="R41" s="76">
        <f>'Закупки и склад'!R$16*$C41</f>
        <v>8000</v>
      </c>
      <c r="S41" s="76">
        <f>'Закупки и склад'!S$16*$C41</f>
        <v>8000</v>
      </c>
      <c r="T41" s="76">
        <f>'Закупки и склад'!T$16*$C41</f>
        <v>8000</v>
      </c>
      <c r="U41" s="76">
        <f>'Закупки и склад'!U$16*$C41</f>
        <v>0</v>
      </c>
      <c r="V41" s="76">
        <f>'Закупки и склад'!V$16*$C41</f>
        <v>8000</v>
      </c>
      <c r="W41" s="76">
        <f>'Закупки и склад'!W$16*$C41</f>
        <v>8000</v>
      </c>
    </row>
    <row r="42" spans="1:23" x14ac:dyDescent="0.25">
      <c r="A42" s="73" t="str">
        <f>""&amp;Допущения!$D$38</f>
        <v>Автопылесос беспроводной</v>
      </c>
      <c r="B42" s="28" t="s">
        <v>108</v>
      </c>
      <c r="C42" s="81">
        <f>'Юнит-экономика'!$D$17</f>
        <v>53.333333333333336</v>
      </c>
      <c r="D42" s="75">
        <f t="shared" si="4"/>
        <v>104000</v>
      </c>
      <c r="E42" s="76"/>
      <c r="F42" s="76">
        <f>'Закупки и склад'!F$17*$C42</f>
        <v>0</v>
      </c>
      <c r="G42" s="76">
        <f>'Закупки и склад'!G$17*$C42</f>
        <v>0</v>
      </c>
      <c r="H42" s="76">
        <f>'Закупки и склад'!H$17*$C42</f>
        <v>8000</v>
      </c>
      <c r="I42" s="76">
        <f>'Закупки и склад'!I$17*$C42</f>
        <v>8000</v>
      </c>
      <c r="J42" s="76">
        <f>'Закупки и склад'!J$17*$C42</f>
        <v>0</v>
      </c>
      <c r="K42" s="76">
        <f>'Закупки и склад'!K$17*$C42</f>
        <v>8000</v>
      </c>
      <c r="L42" s="76">
        <f>'Закупки и склад'!L$17*$C42</f>
        <v>8000</v>
      </c>
      <c r="M42" s="76">
        <f>'Закупки и склад'!M$17*$C42</f>
        <v>8000</v>
      </c>
      <c r="N42" s="76">
        <f>'Закупки и склад'!N$17*$C42</f>
        <v>8000</v>
      </c>
      <c r="O42" s="76">
        <f>'Закупки и склад'!O$17*$C42</f>
        <v>0</v>
      </c>
      <c r="P42" s="76">
        <f>'Закупки и склад'!P$17*$C42</f>
        <v>8000</v>
      </c>
      <c r="Q42" s="76">
        <f>'Закупки и склад'!Q$17*$C42</f>
        <v>8000</v>
      </c>
      <c r="R42" s="76">
        <f>'Закупки и склад'!R$17*$C42</f>
        <v>8000</v>
      </c>
      <c r="S42" s="76">
        <f>'Закупки и склад'!S$17*$C42</f>
        <v>8000</v>
      </c>
      <c r="T42" s="76">
        <f>'Закупки и склад'!T$17*$C42</f>
        <v>8000</v>
      </c>
      <c r="U42" s="76">
        <f>'Закупки и склад'!U$17*$C42</f>
        <v>8000</v>
      </c>
      <c r="V42" s="76">
        <f>'Закупки и склад'!V$17*$C42</f>
        <v>0</v>
      </c>
      <c r="W42" s="76">
        <f>'Закупки и склад'!W$17*$C42</f>
        <v>8000</v>
      </c>
    </row>
    <row r="43" spans="1:23" x14ac:dyDescent="0.25">
      <c r="A43" s="73" t="str">
        <f>""&amp;Допущения!$E$38</f>
        <v>Держатель телефона MagSafe</v>
      </c>
      <c r="B43" s="28" t="s">
        <v>108</v>
      </c>
      <c r="C43" s="81">
        <f>'Юнит-экономика'!$E$17</f>
        <v>26.666666666666668</v>
      </c>
      <c r="D43" s="75">
        <f t="shared" si="4"/>
        <v>112000</v>
      </c>
      <c r="E43" s="76"/>
      <c r="F43" s="76">
        <f>'Закупки и склад'!F$18*$C43</f>
        <v>0</v>
      </c>
      <c r="G43" s="76">
        <f>'Закупки и склад'!G$18*$C43</f>
        <v>0</v>
      </c>
      <c r="H43" s="76">
        <f>'Закупки и склад'!H$18*$C43</f>
        <v>8000</v>
      </c>
      <c r="I43" s="76">
        <f>'Закупки и склад'!I$18*$C43</f>
        <v>8000</v>
      </c>
      <c r="J43" s="76">
        <f>'Закупки и склад'!J$18*$C43</f>
        <v>8000</v>
      </c>
      <c r="K43" s="76">
        <f>'Закупки и склад'!K$18*$C43</f>
        <v>0</v>
      </c>
      <c r="L43" s="76">
        <f>'Закупки и склад'!L$18*$C43</f>
        <v>8000</v>
      </c>
      <c r="M43" s="76">
        <f>'Закупки и склад'!M$18*$C43</f>
        <v>8000</v>
      </c>
      <c r="N43" s="76">
        <f>'Закупки и склад'!N$18*$C43</f>
        <v>8000</v>
      </c>
      <c r="O43" s="76">
        <f>'Закупки и склад'!O$18*$C43</f>
        <v>8000</v>
      </c>
      <c r="P43" s="76">
        <f>'Закупки и склад'!P$18*$C43</f>
        <v>8000</v>
      </c>
      <c r="Q43" s="76">
        <f>'Закупки и склад'!Q$18*$C43</f>
        <v>8000</v>
      </c>
      <c r="R43" s="76">
        <f>'Закупки и склад'!R$18*$C43</f>
        <v>8000</v>
      </c>
      <c r="S43" s="76">
        <f>'Закупки и склад'!S$18*$C43</f>
        <v>8000</v>
      </c>
      <c r="T43" s="76">
        <f>'Закупки и склад'!T$18*$C43</f>
        <v>8000</v>
      </c>
      <c r="U43" s="76">
        <f>'Закупки и склад'!U$18*$C43</f>
        <v>8000</v>
      </c>
      <c r="V43" s="76">
        <f>'Закупки и склад'!V$18*$C43</f>
        <v>0</v>
      </c>
      <c r="W43" s="76">
        <f>'Закупки и склад'!W$18*$C43</f>
        <v>8000</v>
      </c>
    </row>
    <row r="44" spans="1:23" x14ac:dyDescent="0.25">
      <c r="A44" s="73" t="str">
        <f>""&amp;Допущения!$F$38</f>
        <v>Чехлы на сиденья, комплект</v>
      </c>
      <c r="B44" s="28" t="s">
        <v>108</v>
      </c>
      <c r="C44" s="81">
        <f>'Юнит-экономика'!$F$17</f>
        <v>80</v>
      </c>
      <c r="D44" s="75">
        <f t="shared" si="4"/>
        <v>80000</v>
      </c>
      <c r="E44" s="76"/>
      <c r="F44" s="76">
        <f>'Закупки и склад'!F$19*$C44</f>
        <v>0</v>
      </c>
      <c r="G44" s="76">
        <f>'Закупки и склад'!G$19*$C44</f>
        <v>0</v>
      </c>
      <c r="H44" s="76">
        <f>'Закупки и склад'!H$19*$C44</f>
        <v>8000</v>
      </c>
      <c r="I44" s="76">
        <f>'Закупки и склад'!I$19*$C44</f>
        <v>0</v>
      </c>
      <c r="J44" s="76">
        <f>'Закупки и склад'!J$19*$C44</f>
        <v>8000</v>
      </c>
      <c r="K44" s="76">
        <f>'Закупки и склад'!K$19*$C44</f>
        <v>8000</v>
      </c>
      <c r="L44" s="76">
        <f>'Закупки и склад'!L$19*$C44</f>
        <v>0</v>
      </c>
      <c r="M44" s="76">
        <f>'Закупки и склад'!M$19*$C44</f>
        <v>8000</v>
      </c>
      <c r="N44" s="76">
        <f>'Закупки и склад'!N$19*$C44</f>
        <v>0</v>
      </c>
      <c r="O44" s="76">
        <f>'Закупки и склад'!O$19*$C44</f>
        <v>8000</v>
      </c>
      <c r="P44" s="76">
        <f>'Закупки и склад'!P$19*$C44</f>
        <v>8000</v>
      </c>
      <c r="Q44" s="76">
        <f>'Закупки и склад'!Q$19*$C44</f>
        <v>0</v>
      </c>
      <c r="R44" s="76">
        <f>'Закупки и склад'!R$19*$C44</f>
        <v>8000</v>
      </c>
      <c r="S44" s="76">
        <f>'Закупки и склад'!S$19*$C44</f>
        <v>8000</v>
      </c>
      <c r="T44" s="76">
        <f>'Закупки и склад'!T$19*$C44</f>
        <v>0</v>
      </c>
      <c r="U44" s="76">
        <f>'Закупки и склад'!U$19*$C44</f>
        <v>8000</v>
      </c>
      <c r="V44" s="76">
        <f>'Закупки и склад'!V$19*$C44</f>
        <v>0</v>
      </c>
      <c r="W44" s="76">
        <f>'Закупки и склад'!W$19*$C44</f>
        <v>8000</v>
      </c>
    </row>
    <row r="45" spans="1:23" x14ac:dyDescent="0.25">
      <c r="A45" s="73" t="str">
        <f>""&amp;Допущения!$G$38</f>
        <v>Видеорегистратор Wi-Fi</v>
      </c>
      <c r="B45" s="28" t="s">
        <v>108</v>
      </c>
      <c r="C45" s="81">
        <f>'Юнит-экономика'!$G$17</f>
        <v>80</v>
      </c>
      <c r="D45" s="75">
        <f t="shared" si="4"/>
        <v>120000</v>
      </c>
      <c r="E45" s="76"/>
      <c r="F45" s="76">
        <f>'Закупки и склад'!F$20*$C45</f>
        <v>0</v>
      </c>
      <c r="G45" s="76">
        <f>'Закупки и склад'!G$20*$C45</f>
        <v>0</v>
      </c>
      <c r="H45" s="76">
        <f>'Закупки и склад'!H$20*$C45</f>
        <v>8000</v>
      </c>
      <c r="I45" s="76">
        <f>'Закупки и склад'!I$20*$C45</f>
        <v>8000</v>
      </c>
      <c r="J45" s="76">
        <f>'Закупки и склад'!J$20*$C45</f>
        <v>8000</v>
      </c>
      <c r="K45" s="76">
        <f>'Закупки и склад'!K$20*$C45</f>
        <v>8000</v>
      </c>
      <c r="L45" s="76">
        <f>'Закупки и склад'!L$20*$C45</f>
        <v>0</v>
      </c>
      <c r="M45" s="76">
        <f>'Закупки и склад'!M$20*$C45</f>
        <v>8000</v>
      </c>
      <c r="N45" s="76">
        <f>'Закупки и склад'!N$20*$C45</f>
        <v>8000</v>
      </c>
      <c r="O45" s="76">
        <f>'Закупки и склад'!O$20*$C45</f>
        <v>8000</v>
      </c>
      <c r="P45" s="76">
        <f>'Закупки и склад'!P$20*$C45</f>
        <v>8000</v>
      </c>
      <c r="Q45" s="76">
        <f>'Закупки и склад'!Q$20*$C45</f>
        <v>8000</v>
      </c>
      <c r="R45" s="76">
        <f>'Закупки и склад'!R$20*$C45</f>
        <v>8000</v>
      </c>
      <c r="S45" s="76">
        <f>'Закупки и склад'!S$20*$C45</f>
        <v>8000</v>
      </c>
      <c r="T45" s="76">
        <f>'Закупки и склад'!T$20*$C45</f>
        <v>8000</v>
      </c>
      <c r="U45" s="76">
        <f>'Закупки и склад'!U$20*$C45</f>
        <v>8000</v>
      </c>
      <c r="V45" s="76">
        <f>'Закупки и склад'!V$20*$C45</f>
        <v>8000</v>
      </c>
      <c r="W45" s="76">
        <f>'Закупки и склад'!W$20*$C45</f>
        <v>8000</v>
      </c>
    </row>
    <row r="46" spans="1:23" x14ac:dyDescent="0.25">
      <c r="A46" s="59" t="s">
        <v>333</v>
      </c>
      <c r="B46" s="60" t="s">
        <v>108</v>
      </c>
      <c r="C46" s="77"/>
      <c r="D46" s="75">
        <f t="shared" si="4"/>
        <v>568250</v>
      </c>
      <c r="E46" s="75"/>
      <c r="F46" s="75">
        <f t="shared" ref="F46:W46" si="10">SUM(F47:F51)</f>
        <v>0</v>
      </c>
      <c r="G46" s="75">
        <f t="shared" si="10"/>
        <v>0</v>
      </c>
      <c r="H46" s="75">
        <f t="shared" si="10"/>
        <v>46000</v>
      </c>
      <c r="I46" s="75">
        <f t="shared" si="10"/>
        <v>35000</v>
      </c>
      <c r="J46" s="75">
        <f t="shared" si="10"/>
        <v>24250</v>
      </c>
      <c r="K46" s="75">
        <f t="shared" si="10"/>
        <v>36250</v>
      </c>
      <c r="L46" s="75">
        <f t="shared" si="10"/>
        <v>31500</v>
      </c>
      <c r="M46" s="75">
        <f t="shared" si="10"/>
        <v>32500</v>
      </c>
      <c r="N46" s="75">
        <f t="shared" si="10"/>
        <v>35000</v>
      </c>
      <c r="O46" s="75">
        <f t="shared" si="10"/>
        <v>37750</v>
      </c>
      <c r="P46" s="75">
        <f t="shared" si="10"/>
        <v>32500</v>
      </c>
      <c r="Q46" s="75">
        <f t="shared" si="10"/>
        <v>35000</v>
      </c>
      <c r="R46" s="75">
        <f t="shared" si="10"/>
        <v>46000</v>
      </c>
      <c r="S46" s="75">
        <f t="shared" si="10"/>
        <v>46000</v>
      </c>
      <c r="T46" s="75">
        <f t="shared" si="10"/>
        <v>35000</v>
      </c>
      <c r="U46" s="75">
        <f t="shared" si="10"/>
        <v>32500</v>
      </c>
      <c r="V46" s="75">
        <f t="shared" si="10"/>
        <v>17000</v>
      </c>
      <c r="W46" s="75">
        <f t="shared" si="10"/>
        <v>46000</v>
      </c>
    </row>
    <row r="47" spans="1:23" x14ac:dyDescent="0.25">
      <c r="A47" s="73" t="str">
        <f>""&amp;Допущения!$C$38</f>
        <v>Органайзер в багажник</v>
      </c>
      <c r="B47" s="28" t="s">
        <v>108</v>
      </c>
      <c r="C47" s="81">
        <f>'Юнит-экономика'!$C$18+'Юнит-экономика'!$C$19</f>
        <v>67.5</v>
      </c>
      <c r="D47" s="75">
        <f t="shared" si="4"/>
        <v>162000</v>
      </c>
      <c r="E47" s="76"/>
      <c r="F47" s="76">
        <f>'Закупки и склад'!F$16*$C47</f>
        <v>0</v>
      </c>
      <c r="G47" s="76">
        <f>'Закупки и склад'!G$16*$C47</f>
        <v>0</v>
      </c>
      <c r="H47" s="76">
        <f>'Закупки и склад'!H$16*$C47</f>
        <v>13500</v>
      </c>
      <c r="I47" s="76">
        <f>'Закупки и склад'!I$16*$C47</f>
        <v>13500</v>
      </c>
      <c r="J47" s="76">
        <f>'Закупки и склад'!J$16*$C47</f>
        <v>0</v>
      </c>
      <c r="K47" s="76">
        <f>'Закупки и склад'!K$16*$C47</f>
        <v>13500</v>
      </c>
      <c r="L47" s="76">
        <f>'Закупки и склад'!L$16*$C47</f>
        <v>13500</v>
      </c>
      <c r="M47" s="76">
        <f>'Закупки и склад'!M$16*$C47</f>
        <v>0</v>
      </c>
      <c r="N47" s="76">
        <f>'Закупки и склад'!N$16*$C47</f>
        <v>13500</v>
      </c>
      <c r="O47" s="76">
        <f>'Закупки и склад'!O$16*$C47</f>
        <v>13500</v>
      </c>
      <c r="P47" s="76">
        <f>'Закупки и склад'!P$16*$C47</f>
        <v>0</v>
      </c>
      <c r="Q47" s="76">
        <f>'Закупки и склад'!Q$16*$C47</f>
        <v>13500</v>
      </c>
      <c r="R47" s="76">
        <f>'Закупки и склад'!R$16*$C47</f>
        <v>13500</v>
      </c>
      <c r="S47" s="76">
        <f>'Закупки и склад'!S$16*$C47</f>
        <v>13500</v>
      </c>
      <c r="T47" s="76">
        <f>'Закупки и склад'!T$16*$C47</f>
        <v>13500</v>
      </c>
      <c r="U47" s="76">
        <f>'Закупки и склад'!U$16*$C47</f>
        <v>0</v>
      </c>
      <c r="V47" s="76">
        <f>'Закупки и склад'!V$16*$C47</f>
        <v>13500</v>
      </c>
      <c r="W47" s="76">
        <f>'Закупки и склад'!W$16*$C47</f>
        <v>13500</v>
      </c>
    </row>
    <row r="48" spans="1:23" x14ac:dyDescent="0.25">
      <c r="A48" s="73" t="str">
        <f>""&amp;Допущения!$D$38</f>
        <v>Автопылесос беспроводной</v>
      </c>
      <c r="B48" s="28" t="s">
        <v>108</v>
      </c>
      <c r="C48" s="81">
        <f>'Юнит-экономика'!$D$18+'Юнит-экономика'!$D$19</f>
        <v>55</v>
      </c>
      <c r="D48" s="75">
        <f t="shared" si="4"/>
        <v>107250</v>
      </c>
      <c r="E48" s="76"/>
      <c r="F48" s="76">
        <f>'Закупки и склад'!F$17*$C48</f>
        <v>0</v>
      </c>
      <c r="G48" s="76">
        <f>'Закупки и склад'!G$17*$C48</f>
        <v>0</v>
      </c>
      <c r="H48" s="76">
        <f>'Закупки и склад'!H$17*$C48</f>
        <v>8250</v>
      </c>
      <c r="I48" s="76">
        <f>'Закупки и склад'!I$17*$C48</f>
        <v>8250</v>
      </c>
      <c r="J48" s="76">
        <f>'Закупки и склад'!J$17*$C48</f>
        <v>0</v>
      </c>
      <c r="K48" s="76">
        <f>'Закупки и склад'!K$17*$C48</f>
        <v>8250</v>
      </c>
      <c r="L48" s="76">
        <f>'Закупки и склад'!L$17*$C48</f>
        <v>8250</v>
      </c>
      <c r="M48" s="76">
        <f>'Закупки и склад'!M$17*$C48</f>
        <v>8250</v>
      </c>
      <c r="N48" s="76">
        <f>'Закупки и склад'!N$17*$C48</f>
        <v>8250</v>
      </c>
      <c r="O48" s="76">
        <f>'Закупки и склад'!O$17*$C48</f>
        <v>0</v>
      </c>
      <c r="P48" s="76">
        <f>'Закупки и склад'!P$17*$C48</f>
        <v>8250</v>
      </c>
      <c r="Q48" s="76">
        <f>'Закупки и склад'!Q$17*$C48</f>
        <v>8250</v>
      </c>
      <c r="R48" s="76">
        <f>'Закупки и склад'!R$17*$C48</f>
        <v>8250</v>
      </c>
      <c r="S48" s="76">
        <f>'Закупки и склад'!S$17*$C48</f>
        <v>8250</v>
      </c>
      <c r="T48" s="76">
        <f>'Закупки и склад'!T$17*$C48</f>
        <v>8250</v>
      </c>
      <c r="U48" s="76">
        <f>'Закупки и склад'!U$17*$C48</f>
        <v>8250</v>
      </c>
      <c r="V48" s="76">
        <f>'Закупки и склад'!V$17*$C48</f>
        <v>0</v>
      </c>
      <c r="W48" s="76">
        <f>'Закупки и склад'!W$17*$C48</f>
        <v>8250</v>
      </c>
    </row>
    <row r="49" spans="1:23" x14ac:dyDescent="0.25">
      <c r="A49" s="73" t="str">
        <f>""&amp;Допущения!$E$38</f>
        <v>Держатель телефона MagSafe</v>
      </c>
      <c r="B49" s="28" t="s">
        <v>108</v>
      </c>
      <c r="C49" s="81">
        <f>'Юнит-экономика'!$E$18+'Юнит-экономика'!$E$19</f>
        <v>32.5</v>
      </c>
      <c r="D49" s="75">
        <f t="shared" si="4"/>
        <v>136500</v>
      </c>
      <c r="E49" s="76"/>
      <c r="F49" s="76">
        <f>'Закупки и склад'!F$18*$C49</f>
        <v>0</v>
      </c>
      <c r="G49" s="76">
        <f>'Закупки и склад'!G$18*$C49</f>
        <v>0</v>
      </c>
      <c r="H49" s="76">
        <f>'Закупки и склад'!H$18*$C49</f>
        <v>9750</v>
      </c>
      <c r="I49" s="76">
        <f>'Закупки и склад'!I$18*$C49</f>
        <v>9750</v>
      </c>
      <c r="J49" s="76">
        <f>'Закупки и склад'!J$18*$C49</f>
        <v>9750</v>
      </c>
      <c r="K49" s="76">
        <f>'Закупки и склад'!K$18*$C49</f>
        <v>0</v>
      </c>
      <c r="L49" s="76">
        <f>'Закупки и склад'!L$18*$C49</f>
        <v>9750</v>
      </c>
      <c r="M49" s="76">
        <f>'Закупки и склад'!M$18*$C49</f>
        <v>9750</v>
      </c>
      <c r="N49" s="76">
        <f>'Закупки и склад'!N$18*$C49</f>
        <v>9750</v>
      </c>
      <c r="O49" s="76">
        <f>'Закупки и склад'!O$18*$C49</f>
        <v>9750</v>
      </c>
      <c r="P49" s="76">
        <f>'Закупки и склад'!P$18*$C49</f>
        <v>9750</v>
      </c>
      <c r="Q49" s="76">
        <f>'Закупки и склад'!Q$18*$C49</f>
        <v>9750</v>
      </c>
      <c r="R49" s="76">
        <f>'Закупки и склад'!R$18*$C49</f>
        <v>9750</v>
      </c>
      <c r="S49" s="76">
        <f>'Закупки и склад'!S$18*$C49</f>
        <v>9750</v>
      </c>
      <c r="T49" s="76">
        <f>'Закупки и склад'!T$18*$C49</f>
        <v>9750</v>
      </c>
      <c r="U49" s="76">
        <f>'Закупки и склад'!U$18*$C49</f>
        <v>9750</v>
      </c>
      <c r="V49" s="76">
        <f>'Закупки и склад'!V$18*$C49</f>
        <v>0</v>
      </c>
      <c r="W49" s="76">
        <f>'Закупки и склад'!W$18*$C49</f>
        <v>9750</v>
      </c>
    </row>
    <row r="50" spans="1:23" x14ac:dyDescent="0.25">
      <c r="A50" s="73" t="str">
        <f>""&amp;Допущения!$F$38</f>
        <v>Чехлы на сиденья, комплект</v>
      </c>
      <c r="B50" s="28" t="s">
        <v>108</v>
      </c>
      <c r="C50" s="81">
        <f>'Юнит-экономика'!$F$18+'Юнит-экономика'!$F$19</f>
        <v>110</v>
      </c>
      <c r="D50" s="75">
        <f t="shared" si="4"/>
        <v>110000</v>
      </c>
      <c r="E50" s="76"/>
      <c r="F50" s="76">
        <f>'Закупки и склад'!F$19*$C50</f>
        <v>0</v>
      </c>
      <c r="G50" s="76">
        <f>'Закупки и склад'!G$19*$C50</f>
        <v>0</v>
      </c>
      <c r="H50" s="76">
        <f>'Закупки и склад'!H$19*$C50</f>
        <v>11000</v>
      </c>
      <c r="I50" s="76">
        <f>'Закупки и склад'!I$19*$C50</f>
        <v>0</v>
      </c>
      <c r="J50" s="76">
        <f>'Закупки и склад'!J$19*$C50</f>
        <v>11000</v>
      </c>
      <c r="K50" s="76">
        <f>'Закупки и склад'!K$19*$C50</f>
        <v>11000</v>
      </c>
      <c r="L50" s="76">
        <f>'Закупки и склад'!L$19*$C50</f>
        <v>0</v>
      </c>
      <c r="M50" s="76">
        <f>'Закупки и склад'!M$19*$C50</f>
        <v>11000</v>
      </c>
      <c r="N50" s="76">
        <f>'Закупки и склад'!N$19*$C50</f>
        <v>0</v>
      </c>
      <c r="O50" s="76">
        <f>'Закупки и склад'!O$19*$C50</f>
        <v>11000</v>
      </c>
      <c r="P50" s="76">
        <f>'Закупки и склад'!P$19*$C50</f>
        <v>11000</v>
      </c>
      <c r="Q50" s="76">
        <f>'Закупки и склад'!Q$19*$C50</f>
        <v>0</v>
      </c>
      <c r="R50" s="76">
        <f>'Закупки и склад'!R$19*$C50</f>
        <v>11000</v>
      </c>
      <c r="S50" s="76">
        <f>'Закупки и склад'!S$19*$C50</f>
        <v>11000</v>
      </c>
      <c r="T50" s="76">
        <f>'Закупки и склад'!T$19*$C50</f>
        <v>0</v>
      </c>
      <c r="U50" s="76">
        <f>'Закупки и склад'!U$19*$C50</f>
        <v>11000</v>
      </c>
      <c r="V50" s="76">
        <f>'Закупки и склад'!V$19*$C50</f>
        <v>0</v>
      </c>
      <c r="W50" s="76">
        <f>'Закупки и склад'!W$19*$C50</f>
        <v>11000</v>
      </c>
    </row>
    <row r="51" spans="1:23" x14ac:dyDescent="0.25">
      <c r="A51" s="73" t="str">
        <f>""&amp;Допущения!$G$38</f>
        <v>Видеорегистратор Wi-Fi</v>
      </c>
      <c r="B51" s="28" t="s">
        <v>108</v>
      </c>
      <c r="C51" s="81">
        <f>'Юнит-экономика'!$G$18+'Юнит-экономика'!$G$19</f>
        <v>35</v>
      </c>
      <c r="D51" s="75">
        <f t="shared" si="4"/>
        <v>52500</v>
      </c>
      <c r="E51" s="76"/>
      <c r="F51" s="76">
        <f>'Закупки и склад'!F$20*$C51</f>
        <v>0</v>
      </c>
      <c r="G51" s="76">
        <f>'Закупки и склад'!G$20*$C51</f>
        <v>0</v>
      </c>
      <c r="H51" s="76">
        <f>'Закупки и склад'!H$20*$C51</f>
        <v>3500</v>
      </c>
      <c r="I51" s="76">
        <f>'Закупки и склад'!I$20*$C51</f>
        <v>3500</v>
      </c>
      <c r="J51" s="76">
        <f>'Закупки и склад'!J$20*$C51</f>
        <v>3500</v>
      </c>
      <c r="K51" s="76">
        <f>'Закупки и склад'!K$20*$C51</f>
        <v>3500</v>
      </c>
      <c r="L51" s="76">
        <f>'Закупки и склад'!L$20*$C51</f>
        <v>0</v>
      </c>
      <c r="M51" s="76">
        <f>'Закупки и склад'!M$20*$C51</f>
        <v>3500</v>
      </c>
      <c r="N51" s="76">
        <f>'Закупки и склад'!N$20*$C51</f>
        <v>3500</v>
      </c>
      <c r="O51" s="76">
        <f>'Закупки и склад'!O$20*$C51</f>
        <v>3500</v>
      </c>
      <c r="P51" s="76">
        <f>'Закупки и склад'!P$20*$C51</f>
        <v>3500</v>
      </c>
      <c r="Q51" s="76">
        <f>'Закупки и склад'!Q$20*$C51</f>
        <v>3500</v>
      </c>
      <c r="R51" s="76">
        <f>'Закупки и склад'!R$20*$C51</f>
        <v>3500</v>
      </c>
      <c r="S51" s="76">
        <f>'Закупки и склад'!S$20*$C51</f>
        <v>3500</v>
      </c>
      <c r="T51" s="76">
        <f>'Закупки и склад'!T$20*$C51</f>
        <v>3500</v>
      </c>
      <c r="U51" s="76">
        <f>'Закупки и склад'!U$20*$C51</f>
        <v>3500</v>
      </c>
      <c r="V51" s="76">
        <f>'Закупки и склад'!V$20*$C51</f>
        <v>3500</v>
      </c>
      <c r="W51" s="76">
        <f>'Закупки и склад'!W$20*$C51</f>
        <v>3500</v>
      </c>
    </row>
    <row r="52" spans="1:23" x14ac:dyDescent="0.25">
      <c r="A52" s="59" t="s">
        <v>334</v>
      </c>
      <c r="B52" s="60" t="s">
        <v>108</v>
      </c>
      <c r="C52" s="77"/>
      <c r="D52" s="75">
        <f t="shared" si="4"/>
        <v>175000</v>
      </c>
      <c r="E52" s="75"/>
      <c r="F52" s="75">
        <f t="shared" ref="F52:W52" si="11">SUM(F53:F57)</f>
        <v>175000</v>
      </c>
      <c r="G52" s="75">
        <f t="shared" si="11"/>
        <v>0</v>
      </c>
      <c r="H52" s="75">
        <f t="shared" si="11"/>
        <v>0</v>
      </c>
      <c r="I52" s="75">
        <f t="shared" si="11"/>
        <v>0</v>
      </c>
      <c r="J52" s="75">
        <f t="shared" si="11"/>
        <v>0</v>
      </c>
      <c r="K52" s="75">
        <f t="shared" si="11"/>
        <v>0</v>
      </c>
      <c r="L52" s="75">
        <f t="shared" si="11"/>
        <v>0</v>
      </c>
      <c r="M52" s="75">
        <f t="shared" si="11"/>
        <v>0</v>
      </c>
      <c r="N52" s="75">
        <f t="shared" si="11"/>
        <v>0</v>
      </c>
      <c r="O52" s="75">
        <f t="shared" si="11"/>
        <v>0</v>
      </c>
      <c r="P52" s="75">
        <f t="shared" si="11"/>
        <v>0</v>
      </c>
      <c r="Q52" s="75">
        <f t="shared" si="11"/>
        <v>0</v>
      </c>
      <c r="R52" s="75">
        <f t="shared" si="11"/>
        <v>0</v>
      </c>
      <c r="S52" s="75">
        <f t="shared" si="11"/>
        <v>0</v>
      </c>
      <c r="T52" s="75">
        <f t="shared" si="11"/>
        <v>0</v>
      </c>
      <c r="U52" s="75">
        <f t="shared" si="11"/>
        <v>0</v>
      </c>
      <c r="V52" s="75">
        <f t="shared" si="11"/>
        <v>0</v>
      </c>
      <c r="W52" s="75">
        <f t="shared" si="11"/>
        <v>0</v>
      </c>
    </row>
    <row r="53" spans="1:23" x14ac:dyDescent="0.25">
      <c r="A53" s="73" t="str">
        <f>""&amp;Допущения!$C$38</f>
        <v>Органайзер в багажник</v>
      </c>
      <c r="B53" s="28" t="s">
        <v>108</v>
      </c>
      <c r="C53" s="81">
        <f>Допущения!$C$48</f>
        <v>20000</v>
      </c>
      <c r="D53" s="75">
        <f t="shared" si="4"/>
        <v>20000</v>
      </c>
      <c r="E53" s="76"/>
      <c r="F53" s="76">
        <f>IF(AND('Закупки и склад'!F71&gt;0,SUM('Закупки и склад'!$E71:E71)=0),$C53,0)</f>
        <v>20000</v>
      </c>
      <c r="G53" s="76">
        <f>IF(AND('Закупки и склад'!G71&gt;0,SUM('Закупки и склад'!$E71:F71)=0),$C53,0)</f>
        <v>0</v>
      </c>
      <c r="H53" s="76">
        <f>IF(AND('Закупки и склад'!H71&gt;0,SUM('Закупки и склад'!$E71:G71)=0),$C53,0)</f>
        <v>0</v>
      </c>
      <c r="I53" s="76">
        <f>IF(AND('Закупки и склад'!I71&gt;0,SUM('Закупки и склад'!$E71:H71)=0),$C53,0)</f>
        <v>0</v>
      </c>
      <c r="J53" s="76">
        <f>IF(AND('Закупки и склад'!J71&gt;0,SUM('Закупки и склад'!$E71:I71)=0),$C53,0)</f>
        <v>0</v>
      </c>
      <c r="K53" s="76">
        <f>IF(AND('Закупки и склад'!K71&gt;0,SUM('Закупки и склад'!$E71:J71)=0),$C53,0)</f>
        <v>0</v>
      </c>
      <c r="L53" s="76">
        <f>IF(AND('Закупки и склад'!L71&gt;0,SUM('Закупки и склад'!$E71:K71)=0),$C53,0)</f>
        <v>0</v>
      </c>
      <c r="M53" s="76">
        <f>IF(AND('Закупки и склад'!M71&gt;0,SUM('Закупки и склад'!$E71:L71)=0),$C53,0)</f>
        <v>0</v>
      </c>
      <c r="N53" s="76">
        <f>IF(AND('Закупки и склад'!N71&gt;0,SUM('Закупки и склад'!$E71:M71)=0),$C53,0)</f>
        <v>0</v>
      </c>
      <c r="O53" s="76">
        <f>IF(AND('Закупки и склад'!O71&gt;0,SUM('Закупки и склад'!$E71:N71)=0),$C53,0)</f>
        <v>0</v>
      </c>
      <c r="P53" s="76">
        <f>IF(AND('Закупки и склад'!P71&gt;0,SUM('Закупки и склад'!$E71:O71)=0),$C53,0)</f>
        <v>0</v>
      </c>
      <c r="Q53" s="76">
        <f>IF(AND('Закупки и склад'!Q71&gt;0,SUM('Закупки и склад'!$E71:P71)=0),$C53,0)</f>
        <v>0</v>
      </c>
      <c r="R53" s="76">
        <f>IF(AND('Закупки и склад'!R71&gt;0,SUM('Закупки и склад'!$E71:Q71)=0),$C53,0)</f>
        <v>0</v>
      </c>
      <c r="S53" s="76">
        <f>IF(AND('Закупки и склад'!S71&gt;0,SUM('Закупки и склад'!$E71:R71)=0),$C53,0)</f>
        <v>0</v>
      </c>
      <c r="T53" s="76">
        <f>IF(AND('Закупки и склад'!T71&gt;0,SUM('Закупки и склад'!$E71:S71)=0),$C53,0)</f>
        <v>0</v>
      </c>
      <c r="U53" s="76">
        <f>IF(AND('Закупки и склад'!U71&gt;0,SUM('Закупки и склад'!$E71:T71)=0),$C53,0)</f>
        <v>0</v>
      </c>
      <c r="V53" s="76">
        <f>IF(AND('Закупки и склад'!V71&gt;0,SUM('Закупки и склад'!$E71:U71)=0),$C53,0)</f>
        <v>0</v>
      </c>
      <c r="W53" s="76">
        <f>IF(AND('Закупки и склад'!W71&gt;0,SUM('Закупки и склад'!$E71:V71)=0),$C53,0)</f>
        <v>0</v>
      </c>
    </row>
    <row r="54" spans="1:23" x14ac:dyDescent="0.25">
      <c r="A54" s="73" t="str">
        <f>""&amp;Допущения!$D$38</f>
        <v>Автопылесос беспроводной</v>
      </c>
      <c r="B54" s="28" t="s">
        <v>108</v>
      </c>
      <c r="C54" s="81">
        <f>Допущения!$D$48</f>
        <v>45000</v>
      </c>
      <c r="D54" s="75">
        <f t="shared" si="4"/>
        <v>45000</v>
      </c>
      <c r="E54" s="76"/>
      <c r="F54" s="76">
        <f>IF(AND('Закупки и склад'!F72&gt;0,SUM('Закупки и склад'!$E72:E72)=0),$C54,0)</f>
        <v>45000</v>
      </c>
      <c r="G54" s="76">
        <f>IF(AND('Закупки и склад'!G72&gt;0,SUM('Закупки и склад'!$E72:F72)=0),$C54,0)</f>
        <v>0</v>
      </c>
      <c r="H54" s="76">
        <f>IF(AND('Закупки и склад'!H72&gt;0,SUM('Закупки и склад'!$E72:G72)=0),$C54,0)</f>
        <v>0</v>
      </c>
      <c r="I54" s="76">
        <f>IF(AND('Закупки и склад'!I72&gt;0,SUM('Закупки и склад'!$E72:H72)=0),$C54,0)</f>
        <v>0</v>
      </c>
      <c r="J54" s="76">
        <f>IF(AND('Закупки и склад'!J72&gt;0,SUM('Закупки и склад'!$E72:I72)=0),$C54,0)</f>
        <v>0</v>
      </c>
      <c r="K54" s="76">
        <f>IF(AND('Закупки и склад'!K72&gt;0,SUM('Закупки и склад'!$E72:J72)=0),$C54,0)</f>
        <v>0</v>
      </c>
      <c r="L54" s="76">
        <f>IF(AND('Закупки и склад'!L72&gt;0,SUM('Закупки и склад'!$E72:K72)=0),$C54,0)</f>
        <v>0</v>
      </c>
      <c r="M54" s="76">
        <f>IF(AND('Закупки и склад'!M72&gt;0,SUM('Закупки и склад'!$E72:L72)=0),$C54,0)</f>
        <v>0</v>
      </c>
      <c r="N54" s="76">
        <f>IF(AND('Закупки и склад'!N72&gt;0,SUM('Закупки и склад'!$E72:M72)=0),$C54,0)</f>
        <v>0</v>
      </c>
      <c r="O54" s="76">
        <f>IF(AND('Закупки и склад'!O72&gt;0,SUM('Закупки и склад'!$E72:N72)=0),$C54,0)</f>
        <v>0</v>
      </c>
      <c r="P54" s="76">
        <f>IF(AND('Закупки и склад'!P72&gt;0,SUM('Закупки и склад'!$E72:O72)=0),$C54,0)</f>
        <v>0</v>
      </c>
      <c r="Q54" s="76">
        <f>IF(AND('Закупки и склад'!Q72&gt;0,SUM('Закупки и склад'!$E72:P72)=0),$C54,0)</f>
        <v>0</v>
      </c>
      <c r="R54" s="76">
        <f>IF(AND('Закупки и склад'!R72&gt;0,SUM('Закупки и склад'!$E72:Q72)=0),$C54,0)</f>
        <v>0</v>
      </c>
      <c r="S54" s="76">
        <f>IF(AND('Закупки и склад'!S72&gt;0,SUM('Закупки и склад'!$E72:R72)=0),$C54,0)</f>
        <v>0</v>
      </c>
      <c r="T54" s="76">
        <f>IF(AND('Закупки и склад'!T72&gt;0,SUM('Закупки и склад'!$E72:S72)=0),$C54,0)</f>
        <v>0</v>
      </c>
      <c r="U54" s="76">
        <f>IF(AND('Закупки и склад'!U72&gt;0,SUM('Закупки и склад'!$E72:T72)=0),$C54,0)</f>
        <v>0</v>
      </c>
      <c r="V54" s="76">
        <f>IF(AND('Закупки и склад'!V72&gt;0,SUM('Закупки и склад'!$E72:U72)=0),$C54,0)</f>
        <v>0</v>
      </c>
      <c r="W54" s="76">
        <f>IF(AND('Закупки и склад'!W72&gt;0,SUM('Закупки и склад'!$E72:V72)=0),$C54,0)</f>
        <v>0</v>
      </c>
    </row>
    <row r="55" spans="1:23" x14ac:dyDescent="0.25">
      <c r="A55" s="73" t="str">
        <f>""&amp;Допущения!$E$38</f>
        <v>Держатель телефона MagSafe</v>
      </c>
      <c r="B55" s="28" t="s">
        <v>108</v>
      </c>
      <c r="C55" s="81">
        <f>Допущения!$E$48</f>
        <v>40000</v>
      </c>
      <c r="D55" s="75">
        <f t="shared" si="4"/>
        <v>40000</v>
      </c>
      <c r="E55" s="76"/>
      <c r="F55" s="76">
        <f>IF(AND('Закупки и склад'!F73&gt;0,SUM('Закупки и склад'!$E73:E73)=0),$C55,0)</f>
        <v>40000</v>
      </c>
      <c r="G55" s="76">
        <f>IF(AND('Закупки и склад'!G73&gt;0,SUM('Закупки и склад'!$E73:F73)=0),$C55,0)</f>
        <v>0</v>
      </c>
      <c r="H55" s="76">
        <f>IF(AND('Закупки и склад'!H73&gt;0,SUM('Закупки и склад'!$E73:G73)=0),$C55,0)</f>
        <v>0</v>
      </c>
      <c r="I55" s="76">
        <f>IF(AND('Закупки и склад'!I73&gt;0,SUM('Закупки и склад'!$E73:H73)=0),$C55,0)</f>
        <v>0</v>
      </c>
      <c r="J55" s="76">
        <f>IF(AND('Закупки и склад'!J73&gt;0,SUM('Закупки и склад'!$E73:I73)=0),$C55,0)</f>
        <v>0</v>
      </c>
      <c r="K55" s="76">
        <f>IF(AND('Закупки и склад'!K73&gt;0,SUM('Закупки и склад'!$E73:J73)=0),$C55,0)</f>
        <v>0</v>
      </c>
      <c r="L55" s="76">
        <f>IF(AND('Закупки и склад'!L73&gt;0,SUM('Закупки и склад'!$E73:K73)=0),$C55,0)</f>
        <v>0</v>
      </c>
      <c r="M55" s="76">
        <f>IF(AND('Закупки и склад'!M73&gt;0,SUM('Закупки и склад'!$E73:L73)=0),$C55,0)</f>
        <v>0</v>
      </c>
      <c r="N55" s="76">
        <f>IF(AND('Закупки и склад'!N73&gt;0,SUM('Закупки и склад'!$E73:M73)=0),$C55,0)</f>
        <v>0</v>
      </c>
      <c r="O55" s="76">
        <f>IF(AND('Закупки и склад'!O73&gt;0,SUM('Закупки и склад'!$E73:N73)=0),$C55,0)</f>
        <v>0</v>
      </c>
      <c r="P55" s="76">
        <f>IF(AND('Закупки и склад'!P73&gt;0,SUM('Закупки и склад'!$E73:O73)=0),$C55,0)</f>
        <v>0</v>
      </c>
      <c r="Q55" s="76">
        <f>IF(AND('Закупки и склад'!Q73&gt;0,SUM('Закупки и склад'!$E73:P73)=0),$C55,0)</f>
        <v>0</v>
      </c>
      <c r="R55" s="76">
        <f>IF(AND('Закупки и склад'!R73&gt;0,SUM('Закупки и склад'!$E73:Q73)=0),$C55,0)</f>
        <v>0</v>
      </c>
      <c r="S55" s="76">
        <f>IF(AND('Закупки и склад'!S73&gt;0,SUM('Закупки и склад'!$E73:R73)=0),$C55,0)</f>
        <v>0</v>
      </c>
      <c r="T55" s="76">
        <f>IF(AND('Закупки и склад'!T73&gt;0,SUM('Закупки и склад'!$E73:S73)=0),$C55,0)</f>
        <v>0</v>
      </c>
      <c r="U55" s="76">
        <f>IF(AND('Закупки и склад'!U73&gt;0,SUM('Закупки и склад'!$E73:T73)=0),$C55,0)</f>
        <v>0</v>
      </c>
      <c r="V55" s="76">
        <f>IF(AND('Закупки и склад'!V73&gt;0,SUM('Закупки и склад'!$E73:U73)=0),$C55,0)</f>
        <v>0</v>
      </c>
      <c r="W55" s="76">
        <f>IF(AND('Закупки и склад'!W73&gt;0,SUM('Закупки и склад'!$E73:V73)=0),$C55,0)</f>
        <v>0</v>
      </c>
    </row>
    <row r="56" spans="1:23" x14ac:dyDescent="0.25">
      <c r="A56" s="73" t="str">
        <f>""&amp;Допущения!$F$38</f>
        <v>Чехлы на сиденья, комплект</v>
      </c>
      <c r="B56" s="28" t="s">
        <v>108</v>
      </c>
      <c r="C56" s="81">
        <f>Допущения!$F$48</f>
        <v>20000</v>
      </c>
      <c r="D56" s="75">
        <f t="shared" si="4"/>
        <v>20000</v>
      </c>
      <c r="E56" s="76"/>
      <c r="F56" s="76">
        <f>IF(AND('Закупки и склад'!F74&gt;0,SUM('Закупки и склад'!$E74:E74)=0),$C56,0)</f>
        <v>20000</v>
      </c>
      <c r="G56" s="76">
        <f>IF(AND('Закупки и склад'!G74&gt;0,SUM('Закупки и склад'!$E74:F74)=0),$C56,0)</f>
        <v>0</v>
      </c>
      <c r="H56" s="76">
        <f>IF(AND('Закупки и склад'!H74&gt;0,SUM('Закупки и склад'!$E74:G74)=0),$C56,0)</f>
        <v>0</v>
      </c>
      <c r="I56" s="76">
        <f>IF(AND('Закупки и склад'!I74&gt;0,SUM('Закупки и склад'!$E74:H74)=0),$C56,0)</f>
        <v>0</v>
      </c>
      <c r="J56" s="76">
        <f>IF(AND('Закупки и склад'!J74&gt;0,SUM('Закупки и склад'!$E74:I74)=0),$C56,0)</f>
        <v>0</v>
      </c>
      <c r="K56" s="76">
        <f>IF(AND('Закупки и склад'!K74&gt;0,SUM('Закупки и склад'!$E74:J74)=0),$C56,0)</f>
        <v>0</v>
      </c>
      <c r="L56" s="76">
        <f>IF(AND('Закупки и склад'!L74&gt;0,SUM('Закупки и склад'!$E74:K74)=0),$C56,0)</f>
        <v>0</v>
      </c>
      <c r="M56" s="76">
        <f>IF(AND('Закупки и склад'!M74&gt;0,SUM('Закупки и склад'!$E74:L74)=0),$C56,0)</f>
        <v>0</v>
      </c>
      <c r="N56" s="76">
        <f>IF(AND('Закупки и склад'!N74&gt;0,SUM('Закупки и склад'!$E74:M74)=0),$C56,0)</f>
        <v>0</v>
      </c>
      <c r="O56" s="76">
        <f>IF(AND('Закупки и склад'!O74&gt;0,SUM('Закупки и склад'!$E74:N74)=0),$C56,0)</f>
        <v>0</v>
      </c>
      <c r="P56" s="76">
        <f>IF(AND('Закупки и склад'!P74&gt;0,SUM('Закупки и склад'!$E74:O74)=0),$C56,0)</f>
        <v>0</v>
      </c>
      <c r="Q56" s="76">
        <f>IF(AND('Закупки и склад'!Q74&gt;0,SUM('Закупки и склад'!$E74:P74)=0),$C56,0)</f>
        <v>0</v>
      </c>
      <c r="R56" s="76">
        <f>IF(AND('Закупки и склад'!R74&gt;0,SUM('Закупки и склад'!$E74:Q74)=0),$C56,0)</f>
        <v>0</v>
      </c>
      <c r="S56" s="76">
        <f>IF(AND('Закупки и склад'!S74&gt;0,SUM('Закупки и склад'!$E74:R74)=0),$C56,0)</f>
        <v>0</v>
      </c>
      <c r="T56" s="76">
        <f>IF(AND('Закупки и склад'!T74&gt;0,SUM('Закупки и склад'!$E74:S74)=0),$C56,0)</f>
        <v>0</v>
      </c>
      <c r="U56" s="76">
        <f>IF(AND('Закупки и склад'!U74&gt;0,SUM('Закупки и склад'!$E74:T74)=0),$C56,0)</f>
        <v>0</v>
      </c>
      <c r="V56" s="76">
        <f>IF(AND('Закупки и склад'!V74&gt;0,SUM('Закупки и склад'!$E74:U74)=0),$C56,0)</f>
        <v>0</v>
      </c>
      <c r="W56" s="76">
        <f>IF(AND('Закупки и склад'!W74&gt;0,SUM('Закупки и склад'!$E74:V74)=0),$C56,0)</f>
        <v>0</v>
      </c>
    </row>
    <row r="57" spans="1:23" x14ac:dyDescent="0.25">
      <c r="A57" s="73" t="str">
        <f>""&amp;Допущения!$G$38</f>
        <v>Видеорегистратор Wi-Fi</v>
      </c>
      <c r="B57" s="28" t="s">
        <v>108</v>
      </c>
      <c r="C57" s="81">
        <f>Допущения!$G$48</f>
        <v>50000</v>
      </c>
      <c r="D57" s="75">
        <f t="shared" si="4"/>
        <v>50000</v>
      </c>
      <c r="E57" s="76"/>
      <c r="F57" s="76">
        <f>IF(AND('Закупки и склад'!F75&gt;0,SUM('Закупки и склад'!$E75:E75)=0),$C57,0)</f>
        <v>50000</v>
      </c>
      <c r="G57" s="76">
        <f>IF(AND('Закупки и склад'!G75&gt;0,SUM('Закупки и склад'!$E75:F75)=0),$C57,0)</f>
        <v>0</v>
      </c>
      <c r="H57" s="76">
        <f>IF(AND('Закупки и склад'!H75&gt;0,SUM('Закупки и склад'!$E75:G75)=0),$C57,0)</f>
        <v>0</v>
      </c>
      <c r="I57" s="76">
        <f>IF(AND('Закупки и склад'!I75&gt;0,SUM('Закупки и склад'!$E75:H75)=0),$C57,0)</f>
        <v>0</v>
      </c>
      <c r="J57" s="76">
        <f>IF(AND('Закупки и склад'!J75&gt;0,SUM('Закупки и склад'!$E75:I75)=0),$C57,0)</f>
        <v>0</v>
      </c>
      <c r="K57" s="76">
        <f>IF(AND('Закупки и склад'!K75&gt;0,SUM('Закупки и склад'!$E75:J75)=0),$C57,0)</f>
        <v>0</v>
      </c>
      <c r="L57" s="76">
        <f>IF(AND('Закупки и склад'!L75&gt;0,SUM('Закупки и склад'!$E75:K75)=0),$C57,0)</f>
        <v>0</v>
      </c>
      <c r="M57" s="76">
        <f>IF(AND('Закупки и склад'!M75&gt;0,SUM('Закупки и склад'!$E75:L75)=0),$C57,0)</f>
        <v>0</v>
      </c>
      <c r="N57" s="76">
        <f>IF(AND('Закупки и склад'!N75&gt;0,SUM('Закупки и склад'!$E75:M75)=0),$C57,0)</f>
        <v>0</v>
      </c>
      <c r="O57" s="76">
        <f>IF(AND('Закупки и склад'!O75&gt;0,SUM('Закупки и склад'!$E75:N75)=0),$C57,0)</f>
        <v>0</v>
      </c>
      <c r="P57" s="76">
        <f>IF(AND('Закупки и склад'!P75&gt;0,SUM('Закупки и склад'!$E75:O75)=0),$C57,0)</f>
        <v>0</v>
      </c>
      <c r="Q57" s="76">
        <f>IF(AND('Закупки и склад'!Q75&gt;0,SUM('Закупки и склад'!$E75:P75)=0),$C57,0)</f>
        <v>0</v>
      </c>
      <c r="R57" s="76">
        <f>IF(AND('Закупки и склад'!R75&gt;0,SUM('Закупки и склад'!$E75:Q75)=0),$C57,0)</f>
        <v>0</v>
      </c>
      <c r="S57" s="76">
        <f>IF(AND('Закупки и склад'!S75&gt;0,SUM('Закупки и склад'!$E75:R75)=0),$C57,0)</f>
        <v>0</v>
      </c>
      <c r="T57" s="76">
        <f>IF(AND('Закупки и склад'!T75&gt;0,SUM('Закупки и склад'!$E75:S75)=0),$C57,0)</f>
        <v>0</v>
      </c>
      <c r="U57" s="76">
        <f>IF(AND('Закупки и склад'!U75&gt;0,SUM('Закупки и склад'!$E75:T75)=0),$C57,0)</f>
        <v>0</v>
      </c>
      <c r="V57" s="76">
        <f>IF(AND('Закупки и склад'!V75&gt;0,SUM('Закупки и склад'!$E75:U75)=0),$C57,0)</f>
        <v>0</v>
      </c>
      <c r="W57" s="76">
        <f>IF(AND('Закупки и склад'!W75&gt;0,SUM('Закупки и склад'!$E75:V75)=0),$C57,0)</f>
        <v>0</v>
      </c>
    </row>
    <row r="58" spans="1:23" x14ac:dyDescent="0.25">
      <c r="A58" s="59" t="s">
        <v>288</v>
      </c>
      <c r="B58" s="60" t="s">
        <v>108</v>
      </c>
      <c r="C58" s="77"/>
      <c r="D58" s="75">
        <f t="shared" si="4"/>
        <v>1952397.6</v>
      </c>
      <c r="E58" s="75"/>
      <c r="F58" s="75">
        <f>ОПиУ!F35</f>
        <v>0</v>
      </c>
      <c r="G58" s="75">
        <f>ОПиУ!G35</f>
        <v>0</v>
      </c>
      <c r="H58" s="75">
        <f>ОПиУ!H35</f>
        <v>39031.200000000004</v>
      </c>
      <c r="I58" s="75">
        <f>ОПиУ!I35</f>
        <v>65052</v>
      </c>
      <c r="J58" s="75">
        <f>ОПиУ!J35</f>
        <v>91072.8</v>
      </c>
      <c r="K58" s="75">
        <f>ОПиУ!K35</f>
        <v>110728</v>
      </c>
      <c r="L58" s="75">
        <f>ОПиУ!L35</f>
        <v>130104</v>
      </c>
      <c r="M58" s="75">
        <f>ОПиУ!M35</f>
        <v>130104</v>
      </c>
      <c r="N58" s="75">
        <f>ОПиУ!N35</f>
        <v>123738.40000000001</v>
      </c>
      <c r="O58" s="75">
        <f>ОПиУ!O35</f>
        <v>130104</v>
      </c>
      <c r="P58" s="75">
        <f>ОПиУ!P35</f>
        <v>136748.79999999999</v>
      </c>
      <c r="Q58" s="75">
        <f>ОПиУ!Q35</f>
        <v>143114.4</v>
      </c>
      <c r="R58" s="75">
        <f>ОПиУ!R35</f>
        <v>162769.60000000001</v>
      </c>
      <c r="S58" s="75">
        <f>ОПиУ!S35</f>
        <v>169135.2</v>
      </c>
      <c r="T58" s="75">
        <f>ОПиУ!T35</f>
        <v>117093.6</v>
      </c>
      <c r="U58" s="75">
        <f>ОПиУ!U35</f>
        <v>130104</v>
      </c>
      <c r="V58" s="75">
        <f>ОПиУ!V35</f>
        <v>136748.79999999999</v>
      </c>
      <c r="W58" s="75">
        <f>ОПиУ!W35</f>
        <v>136748.79999999999</v>
      </c>
    </row>
    <row r="59" spans="1:23" x14ac:dyDescent="0.25">
      <c r="A59" s="59" t="s">
        <v>335</v>
      </c>
      <c r="B59" s="60" t="s">
        <v>108</v>
      </c>
      <c r="C59" s="77"/>
      <c r="D59" s="75">
        <f t="shared" si="4"/>
        <v>900000</v>
      </c>
      <c r="E59" s="75"/>
      <c r="F59" s="75">
        <f>ОПиУ!F36</f>
        <v>50000</v>
      </c>
      <c r="G59" s="75">
        <f>ОПиУ!G36</f>
        <v>50000</v>
      </c>
      <c r="H59" s="75">
        <f>ОПиУ!H36</f>
        <v>50000</v>
      </c>
      <c r="I59" s="75">
        <f>ОПиУ!I36</f>
        <v>50000</v>
      </c>
      <c r="J59" s="75">
        <f>ОПиУ!J36</f>
        <v>50000</v>
      </c>
      <c r="K59" s="75">
        <f>ОПиУ!K36</f>
        <v>50000</v>
      </c>
      <c r="L59" s="75">
        <f>ОПиУ!L36</f>
        <v>50000</v>
      </c>
      <c r="M59" s="75">
        <f>ОПиУ!M36</f>
        <v>50000</v>
      </c>
      <c r="N59" s="75">
        <f>ОПиУ!N36</f>
        <v>50000</v>
      </c>
      <c r="O59" s="75">
        <f>ОПиУ!O36</f>
        <v>50000</v>
      </c>
      <c r="P59" s="75">
        <f>ОПиУ!P36</f>
        <v>50000</v>
      </c>
      <c r="Q59" s="75">
        <f>ОПиУ!Q36</f>
        <v>50000</v>
      </c>
      <c r="R59" s="75">
        <f>ОПиУ!R36</f>
        <v>50000</v>
      </c>
      <c r="S59" s="75">
        <f>ОПиУ!S36</f>
        <v>50000</v>
      </c>
      <c r="T59" s="75">
        <f>ОПиУ!T36</f>
        <v>50000</v>
      </c>
      <c r="U59" s="75">
        <f>ОПиУ!U36</f>
        <v>50000</v>
      </c>
      <c r="V59" s="75">
        <f>ОПиУ!V36</f>
        <v>50000</v>
      </c>
      <c r="W59" s="75">
        <f>ОПиУ!W36</f>
        <v>50000</v>
      </c>
    </row>
    <row r="60" spans="1:23" x14ac:dyDescent="0.25">
      <c r="A60" s="59" t="s">
        <v>336</v>
      </c>
      <c r="B60" s="60" t="s">
        <v>108</v>
      </c>
      <c r="C60" s="77"/>
      <c r="D60" s="75">
        <f t="shared" si="4"/>
        <v>60000</v>
      </c>
      <c r="E60" s="75"/>
      <c r="F60" s="75">
        <f>ОПиУ!F37</f>
        <v>60000</v>
      </c>
      <c r="G60" s="75">
        <f>ОПиУ!G37</f>
        <v>0</v>
      </c>
      <c r="H60" s="75">
        <f>ОПиУ!H37</f>
        <v>0</v>
      </c>
      <c r="I60" s="75">
        <f>ОПиУ!I37</f>
        <v>0</v>
      </c>
      <c r="J60" s="75">
        <f>ОПиУ!J37</f>
        <v>0</v>
      </c>
      <c r="K60" s="75">
        <f>ОПиУ!K37</f>
        <v>0</v>
      </c>
      <c r="L60" s="75">
        <f>ОПиУ!L37</f>
        <v>0</v>
      </c>
      <c r="M60" s="75">
        <f>ОПиУ!M37</f>
        <v>0</v>
      </c>
      <c r="N60" s="75">
        <f>ОПиУ!N37</f>
        <v>0</v>
      </c>
      <c r="O60" s="75">
        <f>ОПиУ!O37</f>
        <v>0</v>
      </c>
      <c r="P60" s="75">
        <f>ОПиУ!P37</f>
        <v>0</v>
      </c>
      <c r="Q60" s="75">
        <f>ОПиУ!Q37</f>
        <v>0</v>
      </c>
      <c r="R60" s="75">
        <f>ОПиУ!R37</f>
        <v>0</v>
      </c>
      <c r="S60" s="75">
        <f>ОПиУ!S37</f>
        <v>0</v>
      </c>
      <c r="T60" s="75">
        <f>ОПиУ!T37</f>
        <v>0</v>
      </c>
      <c r="U60" s="75">
        <f>ОПиУ!U37</f>
        <v>0</v>
      </c>
      <c r="V60" s="75">
        <f>ОПиУ!V37</f>
        <v>0</v>
      </c>
      <c r="W60" s="75">
        <f>ОПиУ!W37</f>
        <v>0</v>
      </c>
    </row>
    <row r="61" spans="1:23" x14ac:dyDescent="0.25">
      <c r="A61" s="59" t="s">
        <v>337</v>
      </c>
      <c r="B61" s="60" t="s">
        <v>108</v>
      </c>
      <c r="C61" s="77"/>
      <c r="D61" s="75">
        <f t="shared" si="4"/>
        <v>1361736.6</v>
      </c>
      <c r="E61" s="75"/>
      <c r="F61" s="75">
        <f>IF(Налог_номер=3,SUMIFS(ОПиУ!$F$45:$W$45,ОПиУ!$F$4:$W$4,F$4-1),IF(MOD(MONTH(F$5),3)=1,SUMIFS(ОПиУ!$F$45:$W$45,ОПиУ!$F$4:$W$4,"&gt;="&amp;(F$4-3),ОПиУ!$F$4:$W$4,"&lt;"&amp;F$4),0))</f>
        <v>0</v>
      </c>
      <c r="G61" s="75">
        <f>IF(Налог_номер=3,SUMIFS(ОПиУ!$F$45:$W$45,ОПиУ!$F$4:$W$4,G$4-1),IF(MOD(MONTH(G$5),3)=1,SUMIFS(ОПиУ!$F$45:$W$45,ОПиУ!$F$4:$W$4,"&gt;="&amp;(G$4-3),ОПиУ!$F$4:$W$4,"&lt;"&amp;G$4),0))</f>
        <v>0</v>
      </c>
      <c r="H61" s="75">
        <f>IF(Налог_номер=3,SUMIFS(ОПиУ!$F$45:$W$45,ОПиУ!$F$4:$W$4,H$4-1),IF(MOD(MONTH(H$5),3)=1,SUMIFS(ОПиУ!$F$45:$W$45,ОПиУ!$F$4:$W$4,"&gt;="&amp;(H$4-3),ОПиУ!$F$4:$W$4,"&lt;"&amp;H$4),0))</f>
        <v>0</v>
      </c>
      <c r="I61" s="75">
        <f>IF(Налог_номер=3,SUMIFS(ОПиУ!$F$45:$W$45,ОПиУ!$F$4:$W$4,I$4-1),IF(MOD(MONTH(I$5),3)=1,SUMIFS(ОПиУ!$F$45:$W$45,ОПиУ!$F$4:$W$4,"&gt;="&amp;(I$4-3),ОПиУ!$F$4:$W$4,"&lt;"&amp;I$4),0))</f>
        <v>0</v>
      </c>
      <c r="J61" s="75">
        <f>IF(Налог_номер=3,SUMIFS(ОПиУ!$F$45:$W$45,ОПиУ!$F$4:$W$4,J$4-1),IF(MOD(MONTH(J$5),3)=1,SUMIFS(ОПиУ!$F$45:$W$45,ОПиУ!$F$4:$W$4,"&gt;="&amp;(J$4-3),ОПиУ!$F$4:$W$4,"&lt;"&amp;J$4),0))</f>
        <v>0</v>
      </c>
      <c r="K61" s="75">
        <f>IF(Налог_номер=3,SUMIFS(ОПиУ!$F$45:$W$45,ОПиУ!$F$4:$W$4,K$4-1),IF(MOD(MONTH(K$5),3)=1,SUMIFS(ОПиУ!$F$45:$W$45,ОПиУ!$F$4:$W$4,"&gt;="&amp;(K$4-3),ОПиУ!$F$4:$W$4,"&lt;"&amp;K$4),0))</f>
        <v>146367</v>
      </c>
      <c r="L61" s="75">
        <f>IF(Налог_номер=3,SUMIFS(ОПиУ!$F$45:$W$45,ОПиУ!$F$4:$W$4,L$4-1),IF(MOD(MONTH(L$5),3)=1,SUMIFS(ОПиУ!$F$45:$W$45,ОПиУ!$F$4:$W$4,"&gt;="&amp;(L$4-3),ОПиУ!$F$4:$W$4,"&lt;"&amp;L$4),0))</f>
        <v>0</v>
      </c>
      <c r="M61" s="75">
        <f>IF(Налог_номер=3,SUMIFS(ОПиУ!$F$45:$W$45,ОПиУ!$F$4:$W$4,M$4-1),IF(MOD(MONTH(M$5),3)=1,SUMIFS(ОПиУ!$F$45:$W$45,ОПиУ!$F$4:$W$4,"&gt;="&amp;(M$4-3),ОПиУ!$F$4:$W$4,"&lt;"&amp;M$4),0))</f>
        <v>0</v>
      </c>
      <c r="N61" s="75">
        <f>IF(Налог_номер=3,SUMIFS(ОПиУ!$F$45:$W$45,ОПиУ!$F$4:$W$4,N$4-1),IF(MOD(MONTH(N$5),3)=1,SUMIFS(ОПиУ!$F$45:$W$45,ОПиУ!$F$4:$W$4,"&gt;="&amp;(N$4-3),ОПиУ!$F$4:$W$4,"&lt;"&amp;N$4),0))</f>
        <v>278202</v>
      </c>
      <c r="O61" s="75">
        <f>IF(Налог_номер=3,SUMIFS(ОПиУ!$F$45:$W$45,ОПиУ!$F$4:$W$4,O$4-1),IF(MOD(MONTH(O$5),3)=1,SUMIFS(ОПиУ!$F$45:$W$45,ОПиУ!$F$4:$W$4,"&gt;="&amp;(O$4-3),ОПиУ!$F$4:$W$4,"&lt;"&amp;O$4),0))</f>
        <v>0</v>
      </c>
      <c r="P61" s="75">
        <f>IF(Налог_номер=3,SUMIFS(ОПиУ!$F$45:$W$45,ОПиУ!$F$4:$W$4,P$4-1),IF(MOD(MONTH(P$5),3)=1,SUMIFS(ОПиУ!$F$45:$W$45,ОПиУ!$F$4:$W$4,"&gt;="&amp;(P$4-3),ОПиУ!$F$4:$W$4,"&lt;"&amp;P$4),0))</f>
        <v>0</v>
      </c>
      <c r="Q61" s="75">
        <f>IF(Налог_номер=3,SUMIFS(ОПиУ!$F$45:$W$45,ОПиУ!$F$4:$W$4,Q$4-1),IF(MOD(MONTH(Q$5),3)=1,SUMIFS(ОПиУ!$F$45:$W$45,ОПиУ!$F$4:$W$4,"&gt;="&amp;(Q$4-3),ОПиУ!$F$4:$W$4,"&lt;"&amp;Q$4),0))</f>
        <v>292943.40000000002</v>
      </c>
      <c r="R61" s="75">
        <f>IF(Налог_номер=3,SUMIFS(ОПиУ!$F$45:$W$45,ОПиУ!$F$4:$W$4,R$4-1),IF(MOD(MONTH(R$5),3)=1,SUMIFS(ОПиУ!$F$45:$W$45,ОПиУ!$F$4:$W$4,"&gt;="&amp;(R$4-3),ОПиУ!$F$4:$W$4,"&lt;"&amp;R$4),0))</f>
        <v>0</v>
      </c>
      <c r="S61" s="75">
        <f>IF(Налог_номер=3,SUMIFS(ОПиУ!$F$45:$W$45,ОПиУ!$F$4:$W$4,S$4-1),IF(MOD(MONTH(S$5),3)=1,SUMIFS(ОПиУ!$F$45:$W$45,ОПиУ!$F$4:$W$4,"&gt;="&amp;(S$4-3),ОПиУ!$F$4:$W$4,"&lt;"&amp;S$4),0))</f>
        <v>0</v>
      </c>
      <c r="T61" s="75">
        <f>IF(Налог_номер=3,SUMIFS(ОПиУ!$F$45:$W$45,ОПиУ!$F$4:$W$4,T$4-1),IF(MOD(MONTH(T$5),3)=1,SUMIFS(ОПиУ!$F$45:$W$45,ОПиУ!$F$4:$W$4,"&gt;="&amp;(T$4-3),ОПиУ!$F$4:$W$4,"&lt;"&amp;T$4),0))</f>
        <v>356264.4</v>
      </c>
      <c r="U61" s="75">
        <f>IF(Налог_номер=3,SUMIFS(ОПиУ!$F$45:$W$45,ОПиУ!$F$4:$W$4,U$4-1),IF(MOD(MONTH(U$5),3)=1,SUMIFS(ОПиУ!$F$45:$W$45,ОПиУ!$F$4:$W$4,"&gt;="&amp;(U$4-3),ОПиУ!$F$4:$W$4,"&lt;"&amp;U$4),0))</f>
        <v>0</v>
      </c>
      <c r="V61" s="75">
        <f>IF(Налог_номер=3,SUMIFS(ОПиУ!$F$45:$W$45,ОПиУ!$F$4:$W$4,V$4-1),IF(MOD(MONTH(V$5),3)=1,SUMIFS(ОПиУ!$F$45:$W$45,ОПиУ!$F$4:$W$4,"&gt;="&amp;(V$4-3),ОПиУ!$F$4:$W$4,"&lt;"&amp;V$4),0))</f>
        <v>0</v>
      </c>
      <c r="W61" s="75">
        <f>IF(Налог_номер=3,SUMIFS(ОПиУ!$F$45:$W$45,ОПиУ!$F$4:$W$4,W$4-1),IF(MOD(MONTH(W$5),3)=1,SUMIFS(ОПиУ!$F$45:$W$45,ОПиУ!$F$4:$W$4,"&gt;="&amp;(W$4-3),ОПиУ!$F$4:$W$4,"&lt;"&amp;W$4),0))</f>
        <v>287959.8</v>
      </c>
    </row>
    <row r="62" spans="1:23" x14ac:dyDescent="0.25">
      <c r="A62" s="82" t="s">
        <v>338</v>
      </c>
      <c r="B62" s="83" t="s">
        <v>108</v>
      </c>
      <c r="C62" s="84"/>
      <c r="D62" s="85">
        <f t="shared" si="4"/>
        <v>17577671.559999999</v>
      </c>
      <c r="E62" s="85"/>
      <c r="F62" s="85">
        <f t="shared" ref="F62:W62" si="12">F16+F22+F28+F34+F40+F46+F52+F58+F59+F60+F61</f>
        <v>811906.8</v>
      </c>
      <c r="G62" s="85">
        <f t="shared" si="12"/>
        <v>445180.1</v>
      </c>
      <c r="H62" s="85">
        <f t="shared" si="12"/>
        <v>885719.05999999994</v>
      </c>
      <c r="I62" s="85">
        <f t="shared" si="12"/>
        <v>879521.35999999987</v>
      </c>
      <c r="J62" s="85">
        <f t="shared" si="12"/>
        <v>659600.38</v>
      </c>
      <c r="K62" s="85">
        <f t="shared" si="12"/>
        <v>1153597.8399999999</v>
      </c>
      <c r="L62" s="85">
        <f t="shared" si="12"/>
        <v>847538.3</v>
      </c>
      <c r="M62" s="85">
        <f t="shared" si="12"/>
        <v>932017.62000000011</v>
      </c>
      <c r="N62" s="85">
        <f t="shared" si="12"/>
        <v>1218918.8399999999</v>
      </c>
      <c r="O62" s="85">
        <f t="shared" si="12"/>
        <v>946641.3</v>
      </c>
      <c r="P62" s="85">
        <f t="shared" si="12"/>
        <v>1047807.4000000001</v>
      </c>
      <c r="Q62" s="85">
        <f t="shared" si="12"/>
        <v>1333326.8</v>
      </c>
      <c r="R62" s="85">
        <f t="shared" si="12"/>
        <v>1067166.2999999998</v>
      </c>
      <c r="S62" s="85">
        <f t="shared" si="12"/>
        <v>1124968.04</v>
      </c>
      <c r="T62" s="85">
        <f t="shared" si="12"/>
        <v>1046955.68</v>
      </c>
      <c r="U62" s="85">
        <f t="shared" si="12"/>
        <v>1041162.6000000001</v>
      </c>
      <c r="V62" s="85">
        <f t="shared" si="12"/>
        <v>806537.84000000008</v>
      </c>
      <c r="W62" s="85">
        <f t="shared" si="12"/>
        <v>1329105.3</v>
      </c>
    </row>
    <row r="64" spans="1:23" x14ac:dyDescent="0.25">
      <c r="A64" s="59" t="s">
        <v>339</v>
      </c>
      <c r="B64" s="60" t="s">
        <v>108</v>
      </c>
      <c r="C64" s="77"/>
      <c r="D64" s="75">
        <f>SUM(F64:W64)</f>
        <v>532185.9785663326</v>
      </c>
      <c r="E64" s="75"/>
      <c r="F64" s="75">
        <f t="shared" ref="F64:W64" si="13">F13-F62</f>
        <v>-811906.8</v>
      </c>
      <c r="G64" s="75">
        <f t="shared" si="13"/>
        <v>-445180.1</v>
      </c>
      <c r="H64" s="75">
        <f t="shared" si="13"/>
        <v>-686109.40883534215</v>
      </c>
      <c r="I64" s="75">
        <f t="shared" si="13"/>
        <v>-372180.16328982799</v>
      </c>
      <c r="J64" s="75">
        <f t="shared" si="13"/>
        <v>97252.880665994133</v>
      </c>
      <c r="K64" s="75">
        <f t="shared" si="13"/>
        <v>-179753.09914372163</v>
      </c>
      <c r="L64" s="75">
        <f t="shared" si="13"/>
        <v>313347.02739457344</v>
      </c>
      <c r="M64" s="75">
        <f t="shared" si="13"/>
        <v>315542.69977911096</v>
      </c>
      <c r="N64" s="75">
        <f t="shared" si="13"/>
        <v>-3879.1039864269551</v>
      </c>
      <c r="O64" s="75">
        <f t="shared" si="13"/>
        <v>272463.50898426515</v>
      </c>
      <c r="P64" s="75">
        <f t="shared" si="13"/>
        <v>233768.88640179229</v>
      </c>
      <c r="Q64" s="75">
        <f t="shared" si="13"/>
        <v>10534.040962176165</v>
      </c>
      <c r="R64" s="75">
        <f t="shared" si="13"/>
        <v>405702.56876792293</v>
      </c>
      <c r="S64" s="75">
        <f t="shared" si="13"/>
        <v>468404.86491799867</v>
      </c>
      <c r="T64" s="75">
        <f t="shared" si="13"/>
        <v>308726.53415996733</v>
      </c>
      <c r="U64" s="75">
        <f t="shared" si="13"/>
        <v>148178.23818941927</v>
      </c>
      <c r="V64" s="75">
        <f t="shared" si="13"/>
        <v>475038.44640179235</v>
      </c>
      <c r="W64" s="75">
        <f t="shared" si="13"/>
        <v>-17765.042803361779</v>
      </c>
    </row>
    <row r="65" spans="1:23" x14ac:dyDescent="0.25">
      <c r="A65" s="59" t="s">
        <v>340</v>
      </c>
      <c r="B65" s="60" t="s">
        <v>108</v>
      </c>
      <c r="C65" s="77"/>
      <c r="D65" s="75"/>
      <c r="E65" s="75">
        <f>Капитал_старт</f>
        <v>2000000</v>
      </c>
      <c r="F65" s="75">
        <f t="shared" ref="F65:W65" si="14">E65+F64</f>
        <v>1188093.2</v>
      </c>
      <c r="G65" s="75">
        <f t="shared" si="14"/>
        <v>742913.1</v>
      </c>
      <c r="H65" s="75">
        <f t="shared" si="14"/>
        <v>56803.691164657823</v>
      </c>
      <c r="I65" s="75">
        <f t="shared" si="14"/>
        <v>-315376.47212517017</v>
      </c>
      <c r="J65" s="75">
        <f t="shared" si="14"/>
        <v>-218123.59145917604</v>
      </c>
      <c r="K65" s="75">
        <f t="shared" si="14"/>
        <v>-397876.69060289767</v>
      </c>
      <c r="L65" s="75">
        <f t="shared" si="14"/>
        <v>-84529.663208324229</v>
      </c>
      <c r="M65" s="75">
        <f t="shared" si="14"/>
        <v>231013.03657078673</v>
      </c>
      <c r="N65" s="75">
        <f t="shared" si="14"/>
        <v>227133.93258435978</v>
      </c>
      <c r="O65" s="75">
        <f t="shared" si="14"/>
        <v>499597.44156862493</v>
      </c>
      <c r="P65" s="75">
        <f t="shared" si="14"/>
        <v>733366.32797041722</v>
      </c>
      <c r="Q65" s="75">
        <f t="shared" si="14"/>
        <v>743900.36893259338</v>
      </c>
      <c r="R65" s="75">
        <f t="shared" si="14"/>
        <v>1149602.9377005163</v>
      </c>
      <c r="S65" s="75">
        <f t="shared" si="14"/>
        <v>1618007.802618515</v>
      </c>
      <c r="T65" s="75">
        <f t="shared" si="14"/>
        <v>1926734.3367784824</v>
      </c>
      <c r="U65" s="75">
        <f t="shared" si="14"/>
        <v>2074912.5749679017</v>
      </c>
      <c r="V65" s="75">
        <f t="shared" si="14"/>
        <v>2549951.0213696938</v>
      </c>
      <c r="W65" s="75">
        <f t="shared" si="14"/>
        <v>2532185.9785663318</v>
      </c>
    </row>
    <row r="66" spans="1:23" x14ac:dyDescent="0.25">
      <c r="A66" s="62" t="s">
        <v>341</v>
      </c>
      <c r="B66" s="28" t="s">
        <v>108</v>
      </c>
      <c r="C66" s="86" t="s">
        <v>342</v>
      </c>
      <c r="D66" s="75">
        <f>MAX(F66:W66)</f>
        <v>397876.69060289767</v>
      </c>
      <c r="E66" s="76"/>
      <c r="F66" s="76">
        <f t="shared" ref="F66:W66" si="15">MAX(0,-F65)</f>
        <v>0</v>
      </c>
      <c r="G66" s="76">
        <f t="shared" si="15"/>
        <v>0</v>
      </c>
      <c r="H66" s="76">
        <f t="shared" si="15"/>
        <v>0</v>
      </c>
      <c r="I66" s="76">
        <f t="shared" si="15"/>
        <v>315376.47212517017</v>
      </c>
      <c r="J66" s="76">
        <f t="shared" si="15"/>
        <v>218123.59145917604</v>
      </c>
      <c r="K66" s="76">
        <f t="shared" si="15"/>
        <v>397876.69060289767</v>
      </c>
      <c r="L66" s="76">
        <f t="shared" si="15"/>
        <v>84529.663208324229</v>
      </c>
      <c r="M66" s="76">
        <f t="shared" si="15"/>
        <v>0</v>
      </c>
      <c r="N66" s="76">
        <f t="shared" si="15"/>
        <v>0</v>
      </c>
      <c r="O66" s="76">
        <f t="shared" si="15"/>
        <v>0</v>
      </c>
      <c r="P66" s="76">
        <f t="shared" si="15"/>
        <v>0</v>
      </c>
      <c r="Q66" s="76">
        <f t="shared" si="15"/>
        <v>0</v>
      </c>
      <c r="R66" s="76">
        <f t="shared" si="15"/>
        <v>0</v>
      </c>
      <c r="S66" s="76">
        <f t="shared" si="15"/>
        <v>0</v>
      </c>
      <c r="T66" s="76">
        <f t="shared" si="15"/>
        <v>0</v>
      </c>
      <c r="U66" s="76">
        <f t="shared" si="15"/>
        <v>0</v>
      </c>
      <c r="V66" s="76">
        <f t="shared" si="15"/>
        <v>0</v>
      </c>
      <c r="W66" s="76">
        <f t="shared" si="15"/>
        <v>0</v>
      </c>
    </row>
    <row r="67" spans="1:23" x14ac:dyDescent="0.25">
      <c r="A67" s="80" t="s">
        <v>343</v>
      </c>
      <c r="B67" s="28"/>
      <c r="C67" s="18"/>
      <c r="D67" s="87"/>
      <c r="E67" s="18"/>
      <c r="F67" s="18" t="b">
        <f t="shared" ref="F67:W67" si="16">F65&lt;0</f>
        <v>0</v>
      </c>
      <c r="G67" s="18" t="b">
        <f t="shared" si="16"/>
        <v>0</v>
      </c>
      <c r="H67" s="18" t="b">
        <f t="shared" si="16"/>
        <v>0</v>
      </c>
      <c r="I67" s="18" t="b">
        <f t="shared" si="16"/>
        <v>1</v>
      </c>
      <c r="J67" s="18" t="b">
        <f t="shared" si="16"/>
        <v>1</v>
      </c>
      <c r="K67" s="18" t="b">
        <f t="shared" si="16"/>
        <v>1</v>
      </c>
      <c r="L67" s="18" t="b">
        <f t="shared" si="16"/>
        <v>1</v>
      </c>
      <c r="M67" s="18" t="b">
        <f t="shared" si="16"/>
        <v>0</v>
      </c>
      <c r="N67" s="18" t="b">
        <f t="shared" si="16"/>
        <v>0</v>
      </c>
      <c r="O67" s="18" t="b">
        <f t="shared" si="16"/>
        <v>0</v>
      </c>
      <c r="P67" s="18" t="b">
        <f t="shared" si="16"/>
        <v>0</v>
      </c>
      <c r="Q67" s="18" t="b">
        <f t="shared" si="16"/>
        <v>0</v>
      </c>
      <c r="R67" s="18" t="b">
        <f t="shared" si="16"/>
        <v>0</v>
      </c>
      <c r="S67" s="18" t="b">
        <f t="shared" si="16"/>
        <v>0</v>
      </c>
      <c r="T67" s="18" t="b">
        <f t="shared" si="16"/>
        <v>0</v>
      </c>
      <c r="U67" s="18" t="b">
        <f t="shared" si="16"/>
        <v>0</v>
      </c>
      <c r="V67" s="18" t="b">
        <f t="shared" si="16"/>
        <v>0</v>
      </c>
      <c r="W67" s="18" t="b">
        <f t="shared" si="16"/>
        <v>0</v>
      </c>
    </row>
    <row r="68" spans="1:23" x14ac:dyDescent="0.25">
      <c r="A68" s="62" t="s">
        <v>344</v>
      </c>
      <c r="B68" s="28" t="s">
        <v>108</v>
      </c>
      <c r="C68" s="74"/>
      <c r="D68" s="75"/>
      <c r="E68" s="76"/>
      <c r="F68" s="76">
        <f t="shared" ref="F68:W68" si="17">E68+F64</f>
        <v>-811906.8</v>
      </c>
      <c r="G68" s="76">
        <f t="shared" si="17"/>
        <v>-1257086.8999999999</v>
      </c>
      <c r="H68" s="76">
        <f t="shared" si="17"/>
        <v>-1943196.3088353421</v>
      </c>
      <c r="I68" s="76">
        <f t="shared" si="17"/>
        <v>-2315376.4721251698</v>
      </c>
      <c r="J68" s="76">
        <f t="shared" si="17"/>
        <v>-2218123.5914591756</v>
      </c>
      <c r="K68" s="76">
        <f t="shared" si="17"/>
        <v>-2397876.6906028972</v>
      </c>
      <c r="L68" s="76">
        <f t="shared" si="17"/>
        <v>-2084529.6632083238</v>
      </c>
      <c r="M68" s="76">
        <f t="shared" si="17"/>
        <v>-1768986.9634292128</v>
      </c>
      <c r="N68" s="76">
        <f t="shared" si="17"/>
        <v>-1772866.0674156398</v>
      </c>
      <c r="O68" s="76">
        <f t="shared" si="17"/>
        <v>-1500402.5584313746</v>
      </c>
      <c r="P68" s="76">
        <f t="shared" si="17"/>
        <v>-1266633.6720295823</v>
      </c>
      <c r="Q68" s="76">
        <f t="shared" si="17"/>
        <v>-1256099.6310674062</v>
      </c>
      <c r="R68" s="76">
        <f t="shared" si="17"/>
        <v>-850397.06229948322</v>
      </c>
      <c r="S68" s="76">
        <f t="shared" si="17"/>
        <v>-381992.19738148456</v>
      </c>
      <c r="T68" s="76">
        <f t="shared" si="17"/>
        <v>-73265.663221517229</v>
      </c>
      <c r="U68" s="76">
        <f t="shared" si="17"/>
        <v>74912.574967902037</v>
      </c>
      <c r="V68" s="76">
        <f t="shared" si="17"/>
        <v>549951.02136969438</v>
      </c>
      <c r="W68" s="76">
        <f t="shared" si="17"/>
        <v>532185.9785663326</v>
      </c>
    </row>
    <row r="69" spans="1:23" x14ac:dyDescent="0.25">
      <c r="A69" s="80" t="s">
        <v>345</v>
      </c>
      <c r="B69" s="28" t="s">
        <v>108</v>
      </c>
      <c r="C69" s="74"/>
      <c r="D69" s="75"/>
      <c r="E69" s="74"/>
      <c r="F69" s="74">
        <f>MIN(F68:$W68)</f>
        <v>-2397876.6906028972</v>
      </c>
      <c r="G69" s="74">
        <f>MIN(G68:$W68)</f>
        <v>-2397876.6906028972</v>
      </c>
      <c r="H69" s="74">
        <f>MIN(H68:$W68)</f>
        <v>-2397876.6906028972</v>
      </c>
      <c r="I69" s="74">
        <f>MIN(I68:$W68)</f>
        <v>-2397876.6906028972</v>
      </c>
      <c r="J69" s="74">
        <f>MIN(J68:$W68)</f>
        <v>-2397876.6906028972</v>
      </c>
      <c r="K69" s="74">
        <f>MIN(K68:$W68)</f>
        <v>-2397876.6906028972</v>
      </c>
      <c r="L69" s="74">
        <f>MIN(L68:$W68)</f>
        <v>-2084529.6632083238</v>
      </c>
      <c r="M69" s="74">
        <f>MIN(M68:$W68)</f>
        <v>-1772866.0674156398</v>
      </c>
      <c r="N69" s="74">
        <f>MIN(N68:$W68)</f>
        <v>-1772866.0674156398</v>
      </c>
      <c r="O69" s="74">
        <f>MIN(O68:$W68)</f>
        <v>-1500402.5584313746</v>
      </c>
      <c r="P69" s="74">
        <f>MIN(P68:$W68)</f>
        <v>-1266633.6720295823</v>
      </c>
      <c r="Q69" s="74">
        <f>MIN(Q68:$W68)</f>
        <v>-1256099.6310674062</v>
      </c>
      <c r="R69" s="74">
        <f>MIN(R68:$W68)</f>
        <v>-850397.06229948322</v>
      </c>
      <c r="S69" s="74">
        <f>MIN(S68:$W68)</f>
        <v>-381992.19738148456</v>
      </c>
      <c r="T69" s="74">
        <f>MIN(T68:$W68)</f>
        <v>-73265.663221517229</v>
      </c>
      <c r="U69" s="74">
        <f>MIN(U68:$W68)</f>
        <v>74912.574967902037</v>
      </c>
      <c r="V69" s="74">
        <f>MIN(V68:$W68)</f>
        <v>532185.9785663326</v>
      </c>
      <c r="W69" s="74">
        <f>MIN(W68:$W68)</f>
        <v>532185.9785663326</v>
      </c>
    </row>
    <row r="70" spans="1:23" x14ac:dyDescent="0.25">
      <c r="A70" s="80" t="s">
        <v>346</v>
      </c>
      <c r="B70" s="28"/>
      <c r="C70" s="18"/>
      <c r="D70" s="87"/>
      <c r="E70" s="18"/>
      <c r="F70" s="18" t="b">
        <f t="shared" ref="F70:W70" si="18">F69&gt;=0</f>
        <v>0</v>
      </c>
      <c r="G70" s="18" t="b">
        <f t="shared" si="18"/>
        <v>0</v>
      </c>
      <c r="H70" s="18" t="b">
        <f t="shared" si="18"/>
        <v>0</v>
      </c>
      <c r="I70" s="18" t="b">
        <f t="shared" si="18"/>
        <v>0</v>
      </c>
      <c r="J70" s="18" t="b">
        <f t="shared" si="18"/>
        <v>0</v>
      </c>
      <c r="K70" s="18" t="b">
        <f t="shared" si="18"/>
        <v>0</v>
      </c>
      <c r="L70" s="18" t="b">
        <f t="shared" si="18"/>
        <v>0</v>
      </c>
      <c r="M70" s="18" t="b">
        <f t="shared" si="18"/>
        <v>0</v>
      </c>
      <c r="N70" s="18" t="b">
        <f t="shared" si="18"/>
        <v>0</v>
      </c>
      <c r="O70" s="18" t="b">
        <f t="shared" si="18"/>
        <v>0</v>
      </c>
      <c r="P70" s="18" t="b">
        <f t="shared" si="18"/>
        <v>0</v>
      </c>
      <c r="Q70" s="18" t="b">
        <f t="shared" si="18"/>
        <v>0</v>
      </c>
      <c r="R70" s="18" t="b">
        <f t="shared" si="18"/>
        <v>0</v>
      </c>
      <c r="S70" s="18" t="b">
        <f t="shared" si="18"/>
        <v>0</v>
      </c>
      <c r="T70" s="18" t="b">
        <f t="shared" si="18"/>
        <v>0</v>
      </c>
      <c r="U70" s="18" t="b">
        <f t="shared" si="18"/>
        <v>1</v>
      </c>
      <c r="V70" s="18" t="b">
        <f t="shared" si="18"/>
        <v>1</v>
      </c>
      <c r="W70" s="18" t="b">
        <f t="shared" si="18"/>
        <v>1</v>
      </c>
    </row>
    <row r="71" spans="1:23" x14ac:dyDescent="0.25">
      <c r="A71" s="80" t="s">
        <v>347</v>
      </c>
      <c r="B71" s="28" t="s">
        <v>108</v>
      </c>
      <c r="C71" s="74"/>
      <c r="D71" s="75"/>
      <c r="E71" s="74"/>
      <c r="F71" s="74">
        <f t="shared" ref="F71:W71" si="19">MAX(F65,0)</f>
        <v>1188093.2</v>
      </c>
      <c r="G71" s="74">
        <f t="shared" si="19"/>
        <v>742913.1</v>
      </c>
      <c r="H71" s="74">
        <f t="shared" si="19"/>
        <v>56803.691164657823</v>
      </c>
      <c r="I71" s="74">
        <f t="shared" si="19"/>
        <v>0</v>
      </c>
      <c r="J71" s="74">
        <f t="shared" si="19"/>
        <v>0</v>
      </c>
      <c r="K71" s="74">
        <f t="shared" si="19"/>
        <v>0</v>
      </c>
      <c r="L71" s="74">
        <f t="shared" si="19"/>
        <v>0</v>
      </c>
      <c r="M71" s="74">
        <f t="shared" si="19"/>
        <v>231013.03657078673</v>
      </c>
      <c r="N71" s="74">
        <f t="shared" si="19"/>
        <v>227133.93258435978</v>
      </c>
      <c r="O71" s="74">
        <f t="shared" si="19"/>
        <v>499597.44156862493</v>
      </c>
      <c r="P71" s="74">
        <f t="shared" si="19"/>
        <v>733366.32797041722</v>
      </c>
      <c r="Q71" s="74">
        <f t="shared" si="19"/>
        <v>743900.36893259338</v>
      </c>
      <c r="R71" s="74">
        <f t="shared" si="19"/>
        <v>1149602.9377005163</v>
      </c>
      <c r="S71" s="74">
        <f t="shared" si="19"/>
        <v>1618007.802618515</v>
      </c>
      <c r="T71" s="74">
        <f t="shared" si="19"/>
        <v>1926734.3367784824</v>
      </c>
      <c r="U71" s="74">
        <f t="shared" si="19"/>
        <v>2074912.5749679017</v>
      </c>
      <c r="V71" s="74">
        <f t="shared" si="19"/>
        <v>2549951.0213696938</v>
      </c>
      <c r="W71" s="74">
        <f t="shared" si="19"/>
        <v>2532185.9785663318</v>
      </c>
    </row>
    <row r="72" spans="1:23" x14ac:dyDescent="0.25">
      <c r="A72" s="80" t="s">
        <v>348</v>
      </c>
      <c r="B72" s="28" t="s">
        <v>108</v>
      </c>
      <c r="C72" s="74"/>
      <c r="D72" s="75"/>
      <c r="E72" s="74"/>
      <c r="F72" s="74">
        <f t="shared" ref="F72:W72" si="20">MIN(F65,0)</f>
        <v>0</v>
      </c>
      <c r="G72" s="74">
        <f t="shared" si="20"/>
        <v>0</v>
      </c>
      <c r="H72" s="74">
        <f t="shared" si="20"/>
        <v>0</v>
      </c>
      <c r="I72" s="74">
        <f t="shared" si="20"/>
        <v>-315376.47212517017</v>
      </c>
      <c r="J72" s="74">
        <f t="shared" si="20"/>
        <v>-218123.59145917604</v>
      </c>
      <c r="K72" s="74">
        <f t="shared" si="20"/>
        <v>-397876.69060289767</v>
      </c>
      <c r="L72" s="74">
        <f t="shared" si="20"/>
        <v>-84529.663208324229</v>
      </c>
      <c r="M72" s="74">
        <f t="shared" si="20"/>
        <v>0</v>
      </c>
      <c r="N72" s="74">
        <f t="shared" si="20"/>
        <v>0</v>
      </c>
      <c r="O72" s="74">
        <f t="shared" si="20"/>
        <v>0</v>
      </c>
      <c r="P72" s="74">
        <f t="shared" si="20"/>
        <v>0</v>
      </c>
      <c r="Q72" s="74">
        <f t="shared" si="20"/>
        <v>0</v>
      </c>
      <c r="R72" s="74">
        <f t="shared" si="20"/>
        <v>0</v>
      </c>
      <c r="S72" s="74">
        <f t="shared" si="20"/>
        <v>0</v>
      </c>
      <c r="T72" s="74">
        <f t="shared" si="20"/>
        <v>0</v>
      </c>
      <c r="U72" s="74">
        <f t="shared" si="20"/>
        <v>0</v>
      </c>
      <c r="V72" s="74">
        <f t="shared" si="20"/>
        <v>0</v>
      </c>
      <c r="W72" s="74">
        <f t="shared" si="20"/>
        <v>0</v>
      </c>
    </row>
    <row r="74" spans="1:23" x14ac:dyDescent="0.25">
      <c r="A74" s="25" t="s">
        <v>349</v>
      </c>
      <c r="B74" s="26"/>
      <c r="C74" s="26"/>
      <c r="D74" s="26"/>
      <c r="E74" s="26"/>
    </row>
    <row r="75" spans="1:23" x14ac:dyDescent="0.25">
      <c r="A75" s="73" t="s">
        <v>350</v>
      </c>
      <c r="B75" s="28" t="s">
        <v>108</v>
      </c>
      <c r="D75" s="69">
        <f>W65</f>
        <v>2532185.9785663318</v>
      </c>
    </row>
    <row r="76" spans="1:23" x14ac:dyDescent="0.25">
      <c r="A76" s="73" t="s">
        <v>351</v>
      </c>
      <c r="B76" s="28" t="s">
        <v>108</v>
      </c>
      <c r="D76" s="69">
        <f>'Закупки и склад'!W46</f>
        <v>1169195.9524000001</v>
      </c>
    </row>
    <row r="77" spans="1:23" x14ac:dyDescent="0.25">
      <c r="A77" s="73" t="s">
        <v>352</v>
      </c>
      <c r="B77" s="28" t="s">
        <v>108</v>
      </c>
      <c r="D77" s="69">
        <f>SUMPRODUCT('Закупки и склад'!W49:W53,'Закупки и склад'!$C49:$C53)+W16</f>
        <v>841796.34</v>
      </c>
    </row>
    <row r="78" spans="1:23" x14ac:dyDescent="0.25">
      <c r="A78" s="73" t="s">
        <v>353</v>
      </c>
      <c r="B78" s="28" t="s">
        <v>108</v>
      </c>
      <c r="D78" s="69">
        <f>D12-D13</f>
        <v>611958.78669176623</v>
      </c>
    </row>
    <row r="79" spans="1:23" x14ac:dyDescent="0.25">
      <c r="A79" s="73" t="s">
        <v>354</v>
      </c>
      <c r="B79" s="28" t="s">
        <v>108</v>
      </c>
      <c r="D79" s="69">
        <f>ОПиУ!D45-D61</f>
        <v>102561.60000000009</v>
      </c>
    </row>
    <row r="80" spans="1:23" x14ac:dyDescent="0.25">
      <c r="A80" s="88" t="s">
        <v>355</v>
      </c>
      <c r="B80" s="28" t="s">
        <v>108</v>
      </c>
      <c r="D80" s="89">
        <f>D75+D76+D77+D78-D79</f>
        <v>5052575.4576580971</v>
      </c>
    </row>
    <row r="81" spans="1:4" x14ac:dyDescent="0.25">
      <c r="A81" s="73" t="s">
        <v>356</v>
      </c>
      <c r="B81" s="28" t="s">
        <v>108</v>
      </c>
      <c r="D81" s="69">
        <f>SUMPRODUCT('Закупки и склад'!E40:E44,'Закупки и склад'!$C40:$C44)</f>
        <v>0</v>
      </c>
    </row>
    <row r="82" spans="1:4" x14ac:dyDescent="0.25">
      <c r="A82" s="73" t="s">
        <v>357</v>
      </c>
      <c r="B82" s="28" t="s">
        <v>108</v>
      </c>
      <c r="D82" s="69">
        <f>Капитал_старт+D81+ОПиУ!D46</f>
        <v>5052575.4576580962</v>
      </c>
    </row>
    <row r="83" spans="1:4" x14ac:dyDescent="0.25">
      <c r="A83" s="73" t="s">
        <v>358</v>
      </c>
      <c r="B83" s="28" t="s">
        <v>108</v>
      </c>
      <c r="D83" s="69">
        <f>D80-D82</f>
        <v>0</v>
      </c>
    </row>
    <row r="84" spans="1:4" x14ac:dyDescent="0.25">
      <c r="A84" s="88" t="s">
        <v>359</v>
      </c>
      <c r="B84" s="28"/>
      <c r="D84" s="9" t="str">
        <f>IF(ROUND(D83,2)=0,"OK","Ошибка")</f>
        <v>OK</v>
      </c>
    </row>
  </sheetData>
  <sheetProtection sheet="1" formatColumns="0" formatRows="0"/>
  <conditionalFormatting sqref="D84">
    <cfRule type="cellIs" dxfId="5" priority="3" operator="equal">
      <formula>"OK"</formula>
    </cfRule>
    <cfRule type="cellIs" dxfId="4" priority="4" operator="notEqual">
      <formula>"OK"</formula>
    </cfRule>
  </conditionalFormatting>
  <conditionalFormatting sqref="F65:W65">
    <cfRule type="cellIs" dxfId="3" priority="1" operator="lessThan">
      <formula>0</formula>
    </cfRule>
  </conditionalFormatting>
  <conditionalFormatting sqref="F66:W66">
    <cfRule type="cellIs" dxfId="2" priority="2" operator="greaterThan">
      <formula>0</formula>
    </cfRule>
  </conditionalFormatting>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pageSetUpPr fitToPage="1"/>
  </sheetPr>
  <dimension ref="A1:W55"/>
  <sheetViews>
    <sheetView showGridLines="0" zoomScale="90" workbookViewId="0">
      <pane xSplit="5" ySplit="5" topLeftCell="F6" activePane="bottomRight" state="frozen"/>
      <selection pane="topRight"/>
      <selection pane="bottomLeft"/>
      <selection pane="bottomRight"/>
    </sheetView>
  </sheetViews>
  <sheetFormatPr defaultRowHeight="15" x14ac:dyDescent="0.25"/>
  <cols>
    <col min="1" max="1" width="50" customWidth="1"/>
    <col min="2" max="2" width="9" customWidth="1"/>
    <col min="3" max="3" width="12" customWidth="1"/>
    <col min="4" max="4" width="14" customWidth="1"/>
    <col min="5" max="5" width="10" customWidth="1"/>
    <col min="6" max="23" width="11.42578125" customWidth="1"/>
  </cols>
  <sheetData>
    <row r="1" spans="1:23" ht="21" x14ac:dyDescent="0.35">
      <c r="A1" s="1" t="s">
        <v>360</v>
      </c>
    </row>
    <row r="2" spans="1:23" x14ac:dyDescent="0.25">
      <c r="A2" s="18" t="s">
        <v>361</v>
      </c>
    </row>
    <row r="3" spans="1:23" x14ac:dyDescent="0.25">
      <c r="A3" s="2" t="s">
        <v>5</v>
      </c>
    </row>
    <row r="4" spans="1:23" x14ac:dyDescent="0.25">
      <c r="A4" s="18" t="s">
        <v>227</v>
      </c>
      <c r="F4" s="49">
        <f t="shared" ref="F4:W4" si="0">COLUMN()-COLUMN($E$4)</f>
        <v>1</v>
      </c>
      <c r="G4" s="49">
        <f t="shared" si="0"/>
        <v>2</v>
      </c>
      <c r="H4" s="49">
        <f t="shared" si="0"/>
        <v>3</v>
      </c>
      <c r="I4" s="49">
        <f t="shared" si="0"/>
        <v>4</v>
      </c>
      <c r="J4" s="49">
        <f t="shared" si="0"/>
        <v>5</v>
      </c>
      <c r="K4" s="49">
        <f t="shared" si="0"/>
        <v>6</v>
      </c>
      <c r="L4" s="49">
        <f t="shared" si="0"/>
        <v>7</v>
      </c>
      <c r="M4" s="49">
        <f t="shared" si="0"/>
        <v>8</v>
      </c>
      <c r="N4" s="49">
        <f t="shared" si="0"/>
        <v>9</v>
      </c>
      <c r="O4" s="49">
        <f t="shared" si="0"/>
        <v>10</v>
      </c>
      <c r="P4" s="49">
        <f t="shared" si="0"/>
        <v>11</v>
      </c>
      <c r="Q4" s="49">
        <f t="shared" si="0"/>
        <v>12</v>
      </c>
      <c r="R4" s="49">
        <f t="shared" si="0"/>
        <v>13</v>
      </c>
      <c r="S4" s="49">
        <f t="shared" si="0"/>
        <v>14</v>
      </c>
      <c r="T4" s="49">
        <f t="shared" si="0"/>
        <v>15</v>
      </c>
      <c r="U4" s="49">
        <f t="shared" si="0"/>
        <v>16</v>
      </c>
      <c r="V4" s="49">
        <f t="shared" si="0"/>
        <v>17</v>
      </c>
      <c r="W4" s="49">
        <f t="shared" si="0"/>
        <v>18</v>
      </c>
    </row>
    <row r="5" spans="1:23" x14ac:dyDescent="0.25">
      <c r="A5" s="70" t="s">
        <v>268</v>
      </c>
      <c r="B5" s="70" t="s">
        <v>101</v>
      </c>
      <c r="C5" s="70" t="s">
        <v>100</v>
      </c>
      <c r="D5" s="70" t="s">
        <v>32</v>
      </c>
      <c r="E5" s="70" t="s">
        <v>305</v>
      </c>
      <c r="F5" s="71">
        <f t="shared" ref="F5:W5" si="1">EDATE(Дата_начала,F$4-1)</f>
        <v>46327</v>
      </c>
      <c r="G5" s="71">
        <f t="shared" si="1"/>
        <v>46357</v>
      </c>
      <c r="H5" s="71">
        <f t="shared" si="1"/>
        <v>46388</v>
      </c>
      <c r="I5" s="71">
        <f t="shared" si="1"/>
        <v>46419</v>
      </c>
      <c r="J5" s="71">
        <f t="shared" si="1"/>
        <v>46447</v>
      </c>
      <c r="K5" s="71">
        <f t="shared" si="1"/>
        <v>46478</v>
      </c>
      <c r="L5" s="71">
        <f t="shared" si="1"/>
        <v>46508</v>
      </c>
      <c r="M5" s="71">
        <f t="shared" si="1"/>
        <v>46539</v>
      </c>
      <c r="N5" s="71">
        <f t="shared" si="1"/>
        <v>46569</v>
      </c>
      <c r="O5" s="71">
        <f t="shared" si="1"/>
        <v>46600</v>
      </c>
      <c r="P5" s="71">
        <f t="shared" si="1"/>
        <v>46631</v>
      </c>
      <c r="Q5" s="71">
        <f t="shared" si="1"/>
        <v>46661</v>
      </c>
      <c r="R5" s="71">
        <f t="shared" si="1"/>
        <v>46692</v>
      </c>
      <c r="S5" s="71">
        <f t="shared" si="1"/>
        <v>46722</v>
      </c>
      <c r="T5" s="71">
        <f t="shared" si="1"/>
        <v>46753</v>
      </c>
      <c r="U5" s="71">
        <f t="shared" si="1"/>
        <v>46784</v>
      </c>
      <c r="V5" s="71">
        <f t="shared" si="1"/>
        <v>46813</v>
      </c>
      <c r="W5" s="71">
        <f t="shared" si="1"/>
        <v>46844</v>
      </c>
    </row>
    <row r="6" spans="1:23" x14ac:dyDescent="0.25">
      <c r="A6" s="80" t="s">
        <v>362</v>
      </c>
      <c r="B6" s="28"/>
      <c r="C6" s="78"/>
      <c r="D6" s="90"/>
      <c r="E6" s="78"/>
      <c r="F6" s="78">
        <f t="shared" ref="F6:W6" si="2">YEAR(F$5)</f>
        <v>2026</v>
      </c>
      <c r="G6" s="78">
        <f t="shared" si="2"/>
        <v>2026</v>
      </c>
      <c r="H6" s="78">
        <f t="shared" si="2"/>
        <v>2027</v>
      </c>
      <c r="I6" s="78">
        <f t="shared" si="2"/>
        <v>2027</v>
      </c>
      <c r="J6" s="78">
        <f t="shared" si="2"/>
        <v>2027</v>
      </c>
      <c r="K6" s="78">
        <f t="shared" si="2"/>
        <v>2027</v>
      </c>
      <c r="L6" s="78">
        <f t="shared" si="2"/>
        <v>2027</v>
      </c>
      <c r="M6" s="78">
        <f t="shared" si="2"/>
        <v>2027</v>
      </c>
      <c r="N6" s="78">
        <f t="shared" si="2"/>
        <v>2027</v>
      </c>
      <c r="O6" s="78">
        <f t="shared" si="2"/>
        <v>2027</v>
      </c>
      <c r="P6" s="78">
        <f t="shared" si="2"/>
        <v>2027</v>
      </c>
      <c r="Q6" s="78">
        <f t="shared" si="2"/>
        <v>2027</v>
      </c>
      <c r="R6" s="78">
        <f t="shared" si="2"/>
        <v>2027</v>
      </c>
      <c r="S6" s="78">
        <f t="shared" si="2"/>
        <v>2027</v>
      </c>
      <c r="T6" s="78">
        <f t="shared" si="2"/>
        <v>2028</v>
      </c>
      <c r="U6" s="78">
        <f t="shared" si="2"/>
        <v>2028</v>
      </c>
      <c r="V6" s="78">
        <f t="shared" si="2"/>
        <v>2028</v>
      </c>
      <c r="W6" s="78">
        <f t="shared" si="2"/>
        <v>2028</v>
      </c>
    </row>
    <row r="8" spans="1:23" x14ac:dyDescent="0.25">
      <c r="A8" s="59" t="s">
        <v>363</v>
      </c>
      <c r="B8" s="60" t="s">
        <v>108</v>
      </c>
      <c r="C8" s="77"/>
      <c r="D8" s="75">
        <f t="shared" ref="D8:D20" si="3">SUM(F8:W8)</f>
        <v>24404970</v>
      </c>
      <c r="E8" s="75"/>
      <c r="F8" s="75">
        <f t="shared" ref="F8:W8" si="4">SUM(F9:F13)</f>
        <v>0</v>
      </c>
      <c r="G8" s="75">
        <f t="shared" si="4"/>
        <v>0</v>
      </c>
      <c r="H8" s="75">
        <f t="shared" si="4"/>
        <v>487890</v>
      </c>
      <c r="I8" s="75">
        <f t="shared" si="4"/>
        <v>813150</v>
      </c>
      <c r="J8" s="75">
        <f t="shared" si="4"/>
        <v>1138410</v>
      </c>
      <c r="K8" s="75">
        <f t="shared" si="4"/>
        <v>1384100</v>
      </c>
      <c r="L8" s="75">
        <f t="shared" si="4"/>
        <v>1626300</v>
      </c>
      <c r="M8" s="75">
        <f t="shared" si="4"/>
        <v>1626300</v>
      </c>
      <c r="N8" s="75">
        <f t="shared" si="4"/>
        <v>1546730</v>
      </c>
      <c r="O8" s="75">
        <f t="shared" si="4"/>
        <v>1626300</v>
      </c>
      <c r="P8" s="75">
        <f t="shared" si="4"/>
        <v>1709360</v>
      </c>
      <c r="Q8" s="75">
        <f t="shared" si="4"/>
        <v>1788930</v>
      </c>
      <c r="R8" s="75">
        <f t="shared" si="4"/>
        <v>2034620</v>
      </c>
      <c r="S8" s="75">
        <f t="shared" si="4"/>
        <v>2114190</v>
      </c>
      <c r="T8" s="75">
        <f t="shared" si="4"/>
        <v>1463670</v>
      </c>
      <c r="U8" s="75">
        <f t="shared" si="4"/>
        <v>1626300</v>
      </c>
      <c r="V8" s="75">
        <f t="shared" si="4"/>
        <v>1709360</v>
      </c>
      <c r="W8" s="75">
        <f t="shared" si="4"/>
        <v>1709360</v>
      </c>
    </row>
    <row r="9" spans="1:23" x14ac:dyDescent="0.25">
      <c r="A9" s="73" t="str">
        <f>""&amp;Допущения!$C$38</f>
        <v>Органайзер в багажник</v>
      </c>
      <c r="B9" s="28" t="s">
        <v>108</v>
      </c>
      <c r="C9" s="74">
        <f>'Юнит-экономика'!$C$6</f>
        <v>2490</v>
      </c>
      <c r="D9" s="75">
        <f t="shared" si="3"/>
        <v>5229000</v>
      </c>
      <c r="E9" s="76"/>
      <c r="F9" s="76">
        <f>'Закупки и склад'!F$24*$C9</f>
        <v>0</v>
      </c>
      <c r="G9" s="76">
        <f>'Закупки и склад'!G$24*$C9</f>
        <v>0</v>
      </c>
      <c r="H9" s="76">
        <f>'Закупки и склад'!H$24*$C9</f>
        <v>104580</v>
      </c>
      <c r="I9" s="76">
        <f>'Закупки и склад'!I$24*$C9</f>
        <v>174300</v>
      </c>
      <c r="J9" s="76">
        <f>'Закупки и склад'!J$24*$C9</f>
        <v>244020</v>
      </c>
      <c r="K9" s="76">
        <f>'Закупки и склад'!K$24*$C9</f>
        <v>296310</v>
      </c>
      <c r="L9" s="76">
        <f>'Закупки и склад'!L$24*$C9</f>
        <v>348600</v>
      </c>
      <c r="M9" s="76">
        <f>'Закупки и склад'!M$24*$C9</f>
        <v>348600</v>
      </c>
      <c r="N9" s="76">
        <f>'Закупки и склад'!N$24*$C9</f>
        <v>331170</v>
      </c>
      <c r="O9" s="76">
        <f>'Закупки и склад'!O$24*$C9</f>
        <v>348600</v>
      </c>
      <c r="P9" s="76">
        <f>'Закупки и склад'!P$24*$C9</f>
        <v>366030</v>
      </c>
      <c r="Q9" s="76">
        <f>'Закупки и склад'!Q$24*$C9</f>
        <v>383460</v>
      </c>
      <c r="R9" s="76">
        <f>'Закупки и склад'!R$24*$C9</f>
        <v>435750</v>
      </c>
      <c r="S9" s="76">
        <f>'Закупки и склад'!S$24*$C9</f>
        <v>453180</v>
      </c>
      <c r="T9" s="76">
        <f>'Закупки и склад'!T$24*$C9</f>
        <v>313740</v>
      </c>
      <c r="U9" s="76">
        <f>'Закупки и склад'!U$24*$C9</f>
        <v>348600</v>
      </c>
      <c r="V9" s="76">
        <f>'Закупки и склад'!V$24*$C9</f>
        <v>366030</v>
      </c>
      <c r="W9" s="76">
        <f>'Закупки и склад'!W$24*$C9</f>
        <v>366030</v>
      </c>
    </row>
    <row r="10" spans="1:23" x14ac:dyDescent="0.25">
      <c r="A10" s="73" t="str">
        <f>""&amp;Допущения!$D$38</f>
        <v>Автопылесос беспроводной</v>
      </c>
      <c r="B10" s="28" t="s">
        <v>108</v>
      </c>
      <c r="C10" s="74">
        <f>'Юнит-экономика'!$D$6</f>
        <v>2990</v>
      </c>
      <c r="D10" s="75">
        <f t="shared" si="3"/>
        <v>5382000</v>
      </c>
      <c r="E10" s="76"/>
      <c r="F10" s="76">
        <f>'Закупки и склад'!F$25*$C10</f>
        <v>0</v>
      </c>
      <c r="G10" s="76">
        <f>'Закупки и склад'!G$25*$C10</f>
        <v>0</v>
      </c>
      <c r="H10" s="76">
        <f>'Закупки и склад'!H$25*$C10</f>
        <v>107640</v>
      </c>
      <c r="I10" s="76">
        <f>'Закупки и склад'!I$25*$C10</f>
        <v>179400</v>
      </c>
      <c r="J10" s="76">
        <f>'Закупки и склад'!J$25*$C10</f>
        <v>251160</v>
      </c>
      <c r="K10" s="76">
        <f>'Закупки и склад'!K$25*$C10</f>
        <v>304980</v>
      </c>
      <c r="L10" s="76">
        <f>'Закупки и склад'!L$25*$C10</f>
        <v>358800</v>
      </c>
      <c r="M10" s="76">
        <f>'Закупки и склад'!M$25*$C10</f>
        <v>358800</v>
      </c>
      <c r="N10" s="76">
        <f>'Закупки и склад'!N$25*$C10</f>
        <v>340860</v>
      </c>
      <c r="O10" s="76">
        <f>'Закупки и склад'!O$25*$C10</f>
        <v>358800</v>
      </c>
      <c r="P10" s="76">
        <f>'Закупки и склад'!P$25*$C10</f>
        <v>376740</v>
      </c>
      <c r="Q10" s="76">
        <f>'Закупки и склад'!Q$25*$C10</f>
        <v>394680</v>
      </c>
      <c r="R10" s="76">
        <f>'Закупки и склад'!R$25*$C10</f>
        <v>448500</v>
      </c>
      <c r="S10" s="76">
        <f>'Закупки и склад'!S$25*$C10</f>
        <v>466440</v>
      </c>
      <c r="T10" s="76">
        <f>'Закупки и склад'!T$25*$C10</f>
        <v>322920</v>
      </c>
      <c r="U10" s="76">
        <f>'Закупки и склад'!U$25*$C10</f>
        <v>358800</v>
      </c>
      <c r="V10" s="76">
        <f>'Закупки и склад'!V$25*$C10</f>
        <v>376740</v>
      </c>
      <c r="W10" s="76">
        <f>'Закупки и склад'!W$25*$C10</f>
        <v>376740</v>
      </c>
    </row>
    <row r="11" spans="1:23" x14ac:dyDescent="0.25">
      <c r="A11" s="73" t="str">
        <f>""&amp;Допущения!$E$38</f>
        <v>Держатель телефона MagSafe</v>
      </c>
      <c r="B11" s="28" t="s">
        <v>108</v>
      </c>
      <c r="C11" s="74">
        <f>'Юнит-экономика'!$E$6</f>
        <v>1290</v>
      </c>
      <c r="D11" s="75">
        <f t="shared" si="3"/>
        <v>5031000</v>
      </c>
      <c r="E11" s="76"/>
      <c r="F11" s="76">
        <f>'Закупки и склад'!F$26*$C11</f>
        <v>0</v>
      </c>
      <c r="G11" s="76">
        <f>'Закупки и склад'!G$26*$C11</f>
        <v>0</v>
      </c>
      <c r="H11" s="76">
        <f>'Закупки и склад'!H$26*$C11</f>
        <v>100620</v>
      </c>
      <c r="I11" s="76">
        <f>'Закупки и склад'!I$26*$C11</f>
        <v>167700</v>
      </c>
      <c r="J11" s="76">
        <f>'Закупки и склад'!J$26*$C11</f>
        <v>234780</v>
      </c>
      <c r="K11" s="76">
        <f>'Закупки и склад'!K$26*$C11</f>
        <v>285090</v>
      </c>
      <c r="L11" s="76">
        <f>'Закупки и склад'!L$26*$C11</f>
        <v>335400</v>
      </c>
      <c r="M11" s="76">
        <f>'Закупки и склад'!M$26*$C11</f>
        <v>335400</v>
      </c>
      <c r="N11" s="76">
        <f>'Закупки и склад'!N$26*$C11</f>
        <v>318630</v>
      </c>
      <c r="O11" s="76">
        <f>'Закупки и склад'!O$26*$C11</f>
        <v>335400</v>
      </c>
      <c r="P11" s="76">
        <f>'Закупки и склад'!P$26*$C11</f>
        <v>352170</v>
      </c>
      <c r="Q11" s="76">
        <f>'Закупки и склад'!Q$26*$C11</f>
        <v>368940</v>
      </c>
      <c r="R11" s="76">
        <f>'Закупки и склад'!R$26*$C11</f>
        <v>419250</v>
      </c>
      <c r="S11" s="76">
        <f>'Закупки и склад'!S$26*$C11</f>
        <v>436020</v>
      </c>
      <c r="T11" s="76">
        <f>'Закупки и склад'!T$26*$C11</f>
        <v>301860</v>
      </c>
      <c r="U11" s="76">
        <f>'Закупки и склад'!U$26*$C11</f>
        <v>335400</v>
      </c>
      <c r="V11" s="76">
        <f>'Закупки и склад'!V$26*$C11</f>
        <v>352170</v>
      </c>
      <c r="W11" s="76">
        <f>'Закупки и склад'!W$26*$C11</f>
        <v>352170</v>
      </c>
    </row>
    <row r="12" spans="1:23" x14ac:dyDescent="0.25">
      <c r="A12" s="73" t="str">
        <f>""&amp;Допущения!$F$38</f>
        <v>Чехлы на сиденья, комплект</v>
      </c>
      <c r="B12" s="28" t="s">
        <v>108</v>
      </c>
      <c r="C12" s="74">
        <f>'Юнит-экономика'!$F$6</f>
        <v>4490</v>
      </c>
      <c r="D12" s="75">
        <f t="shared" si="3"/>
        <v>4041000</v>
      </c>
      <c r="E12" s="76"/>
      <c r="F12" s="76">
        <f>'Закупки и склад'!F$27*$C12</f>
        <v>0</v>
      </c>
      <c r="G12" s="76">
        <f>'Закупки и склад'!G$27*$C12</f>
        <v>0</v>
      </c>
      <c r="H12" s="76">
        <f>'Закупки и склад'!H$27*$C12</f>
        <v>80820</v>
      </c>
      <c r="I12" s="76">
        <f>'Закупки и склад'!I$27*$C12</f>
        <v>134700</v>
      </c>
      <c r="J12" s="76">
        <f>'Закупки и склад'!J$27*$C12</f>
        <v>188580</v>
      </c>
      <c r="K12" s="76">
        <f>'Закупки и склад'!K$27*$C12</f>
        <v>228990</v>
      </c>
      <c r="L12" s="76">
        <f>'Закупки и склад'!L$27*$C12</f>
        <v>269400</v>
      </c>
      <c r="M12" s="76">
        <f>'Закупки и склад'!M$27*$C12</f>
        <v>269400</v>
      </c>
      <c r="N12" s="76">
        <f>'Закупки и склад'!N$27*$C12</f>
        <v>255930</v>
      </c>
      <c r="O12" s="76">
        <f>'Закупки и склад'!O$27*$C12</f>
        <v>269400</v>
      </c>
      <c r="P12" s="76">
        <f>'Закупки и склад'!P$27*$C12</f>
        <v>282870</v>
      </c>
      <c r="Q12" s="76">
        <f>'Закупки и склад'!Q$27*$C12</f>
        <v>296340</v>
      </c>
      <c r="R12" s="76">
        <f>'Закупки и склад'!R$27*$C12</f>
        <v>336750</v>
      </c>
      <c r="S12" s="76">
        <f>'Закупки и склад'!S$27*$C12</f>
        <v>350220</v>
      </c>
      <c r="T12" s="76">
        <f>'Закупки и склад'!T$27*$C12</f>
        <v>242460</v>
      </c>
      <c r="U12" s="76">
        <f>'Закупки и склад'!U$27*$C12</f>
        <v>269400</v>
      </c>
      <c r="V12" s="76">
        <f>'Закупки и склад'!V$27*$C12</f>
        <v>282870</v>
      </c>
      <c r="W12" s="76">
        <f>'Закупки и склад'!W$27*$C12</f>
        <v>282870</v>
      </c>
    </row>
    <row r="13" spans="1:23" x14ac:dyDescent="0.25">
      <c r="A13" s="73" t="str">
        <f>""&amp;Допущения!$G$38</f>
        <v>Видеорегистратор Wi-Fi</v>
      </c>
      <c r="B13" s="28" t="s">
        <v>108</v>
      </c>
      <c r="C13" s="74">
        <f>'Юнит-экономика'!$G$6</f>
        <v>3490</v>
      </c>
      <c r="D13" s="75">
        <f t="shared" si="3"/>
        <v>4721970</v>
      </c>
      <c r="E13" s="76"/>
      <c r="F13" s="76">
        <f>'Закупки и склад'!F$28*$C13</f>
        <v>0</v>
      </c>
      <c r="G13" s="76">
        <f>'Закупки и склад'!G$28*$C13</f>
        <v>0</v>
      </c>
      <c r="H13" s="76">
        <f>'Закупки и склад'!H$28*$C13</f>
        <v>94230</v>
      </c>
      <c r="I13" s="76">
        <f>'Закупки и склад'!I$28*$C13</f>
        <v>157050</v>
      </c>
      <c r="J13" s="76">
        <f>'Закупки и склад'!J$28*$C13</f>
        <v>219870</v>
      </c>
      <c r="K13" s="76">
        <f>'Закупки и склад'!K$28*$C13</f>
        <v>268730</v>
      </c>
      <c r="L13" s="76">
        <f>'Закупки и склад'!L$28*$C13</f>
        <v>314100</v>
      </c>
      <c r="M13" s="76">
        <f>'Закупки и склад'!M$28*$C13</f>
        <v>314100</v>
      </c>
      <c r="N13" s="76">
        <f>'Закупки и склад'!N$28*$C13</f>
        <v>300140</v>
      </c>
      <c r="O13" s="76">
        <f>'Закупки и склад'!O$28*$C13</f>
        <v>314100</v>
      </c>
      <c r="P13" s="76">
        <f>'Закупки и склад'!P$28*$C13</f>
        <v>331550</v>
      </c>
      <c r="Q13" s="76">
        <f>'Закупки и склад'!Q$28*$C13</f>
        <v>345510</v>
      </c>
      <c r="R13" s="76">
        <f>'Закупки и склад'!R$28*$C13</f>
        <v>394370</v>
      </c>
      <c r="S13" s="76">
        <f>'Закупки и склад'!S$28*$C13</f>
        <v>408330</v>
      </c>
      <c r="T13" s="76">
        <f>'Закупки и склад'!T$28*$C13</f>
        <v>282690</v>
      </c>
      <c r="U13" s="76">
        <f>'Закупки и склад'!U$28*$C13</f>
        <v>314100</v>
      </c>
      <c r="V13" s="76">
        <f>'Закупки и склад'!V$28*$C13</f>
        <v>331550</v>
      </c>
      <c r="W13" s="76">
        <f>'Закупки и склад'!W$28*$C13</f>
        <v>331550</v>
      </c>
    </row>
    <row r="14" spans="1:23" x14ac:dyDescent="0.25">
      <c r="A14" s="59" t="s">
        <v>364</v>
      </c>
      <c r="B14" s="60" t="s">
        <v>108</v>
      </c>
      <c r="C14" s="77"/>
      <c r="D14" s="75">
        <f t="shared" si="3"/>
        <v>11117545.067600001</v>
      </c>
      <c r="E14" s="75"/>
      <c r="F14" s="75">
        <f t="shared" ref="F14:W14" si="5">SUM(F15:F19)</f>
        <v>0</v>
      </c>
      <c r="G14" s="75">
        <f t="shared" si="5"/>
        <v>0</v>
      </c>
      <c r="H14" s="75">
        <f t="shared" si="5"/>
        <v>222248.2696</v>
      </c>
      <c r="I14" s="75">
        <f t="shared" si="5"/>
        <v>370413.78266666667</v>
      </c>
      <c r="J14" s="75">
        <f t="shared" si="5"/>
        <v>518579.29573333327</v>
      </c>
      <c r="K14" s="75">
        <f t="shared" si="5"/>
        <v>630558.69513333333</v>
      </c>
      <c r="L14" s="75">
        <f t="shared" si="5"/>
        <v>740827.56533333333</v>
      </c>
      <c r="M14" s="75">
        <f t="shared" si="5"/>
        <v>740827.56533333333</v>
      </c>
      <c r="N14" s="75">
        <f t="shared" si="5"/>
        <v>704641.45166666666</v>
      </c>
      <c r="O14" s="75">
        <f t="shared" si="5"/>
        <v>740827.56533333333</v>
      </c>
      <c r="P14" s="75">
        <f t="shared" si="5"/>
        <v>778724.20819999999</v>
      </c>
      <c r="Q14" s="75">
        <f t="shared" si="5"/>
        <v>814910.32186666667</v>
      </c>
      <c r="R14" s="75">
        <f t="shared" si="5"/>
        <v>926889.72126666666</v>
      </c>
      <c r="S14" s="75">
        <f t="shared" si="5"/>
        <v>963075.83493333333</v>
      </c>
      <c r="T14" s="75">
        <f t="shared" si="5"/>
        <v>666744.8088</v>
      </c>
      <c r="U14" s="75">
        <f t="shared" si="5"/>
        <v>740827.56533333333</v>
      </c>
      <c r="V14" s="75">
        <f t="shared" si="5"/>
        <v>778724.20819999999</v>
      </c>
      <c r="W14" s="75">
        <f t="shared" si="5"/>
        <v>778724.20819999999</v>
      </c>
    </row>
    <row r="15" spans="1:23" x14ac:dyDescent="0.25">
      <c r="A15" s="73" t="str">
        <f>""&amp;Допущения!$C$38</f>
        <v>Органайзер в багажник</v>
      </c>
      <c r="B15" s="28" t="s">
        <v>108</v>
      </c>
      <c r="C15" s="74">
        <f>'Юнит-экономика'!$C$20</f>
        <v>1026.7768000000001</v>
      </c>
      <c r="D15" s="75">
        <f t="shared" si="3"/>
        <v>2156231.2799999998</v>
      </c>
      <c r="E15" s="76"/>
      <c r="F15" s="76">
        <f>'Закупки и склад'!F$24*$C15</f>
        <v>0</v>
      </c>
      <c r="G15" s="76">
        <f>'Закупки и склад'!G$24*$C15</f>
        <v>0</v>
      </c>
      <c r="H15" s="76">
        <f>'Закупки и склад'!H$24*$C15</f>
        <v>43124.625600000007</v>
      </c>
      <c r="I15" s="76">
        <f>'Закупки и склад'!I$24*$C15</f>
        <v>71874.376000000004</v>
      </c>
      <c r="J15" s="76">
        <f>'Закупки и склад'!J$24*$C15</f>
        <v>100624.12640000001</v>
      </c>
      <c r="K15" s="76">
        <f>'Закупки и склад'!K$24*$C15</f>
        <v>122186.43920000001</v>
      </c>
      <c r="L15" s="76">
        <f>'Закупки и склад'!L$24*$C15</f>
        <v>143748.75200000001</v>
      </c>
      <c r="M15" s="76">
        <f>'Закупки и склад'!M$24*$C15</f>
        <v>143748.75200000001</v>
      </c>
      <c r="N15" s="76">
        <f>'Закупки и склад'!N$24*$C15</f>
        <v>136561.3144</v>
      </c>
      <c r="O15" s="76">
        <f>'Закупки и склад'!O$24*$C15</f>
        <v>143748.75200000001</v>
      </c>
      <c r="P15" s="76">
        <f>'Закупки и склад'!P$24*$C15</f>
        <v>150936.18960000001</v>
      </c>
      <c r="Q15" s="76">
        <f>'Закупки и склад'!Q$24*$C15</f>
        <v>158123.62720000002</v>
      </c>
      <c r="R15" s="76">
        <f>'Закупки и склад'!R$24*$C15</f>
        <v>179685.94</v>
      </c>
      <c r="S15" s="76">
        <f>'Закупки и склад'!S$24*$C15</f>
        <v>186873.37760000001</v>
      </c>
      <c r="T15" s="76">
        <f>'Закупки и склад'!T$24*$C15</f>
        <v>129373.87680000001</v>
      </c>
      <c r="U15" s="76">
        <f>'Закупки и склад'!U$24*$C15</f>
        <v>143748.75200000001</v>
      </c>
      <c r="V15" s="76">
        <f>'Закупки и склад'!V$24*$C15</f>
        <v>150936.18960000001</v>
      </c>
      <c r="W15" s="76">
        <f>'Закупки и склад'!W$24*$C15</f>
        <v>150936.18960000001</v>
      </c>
    </row>
    <row r="16" spans="1:23" x14ac:dyDescent="0.25">
      <c r="A16" s="73" t="str">
        <f>""&amp;Допущения!$D$38</f>
        <v>Автопылесос беспроводной</v>
      </c>
      <c r="B16" s="28" t="s">
        <v>108</v>
      </c>
      <c r="C16" s="74">
        <f>'Юнит-экономика'!$D$20</f>
        <v>1313.3625333333332</v>
      </c>
      <c r="D16" s="75">
        <f t="shared" si="3"/>
        <v>2364052.56</v>
      </c>
      <c r="E16" s="76"/>
      <c r="F16" s="76">
        <f>'Закупки и склад'!F$25*$C16</f>
        <v>0</v>
      </c>
      <c r="G16" s="76">
        <f>'Закупки и склад'!G$25*$C16</f>
        <v>0</v>
      </c>
      <c r="H16" s="76">
        <f>'Закупки и склад'!H$25*$C16</f>
        <v>47281.051199999994</v>
      </c>
      <c r="I16" s="76">
        <f>'Закупки и склад'!I$25*$C16</f>
        <v>78801.751999999993</v>
      </c>
      <c r="J16" s="76">
        <f>'Закупки и склад'!J$25*$C16</f>
        <v>110322.45279999998</v>
      </c>
      <c r="K16" s="76">
        <f>'Закупки и склад'!K$25*$C16</f>
        <v>133962.97839999999</v>
      </c>
      <c r="L16" s="76">
        <f>'Закупки и склад'!L$25*$C16</f>
        <v>157603.50399999999</v>
      </c>
      <c r="M16" s="76">
        <f>'Закупки и склад'!M$25*$C16</f>
        <v>157603.50399999999</v>
      </c>
      <c r="N16" s="76">
        <f>'Закупки и склад'!N$25*$C16</f>
        <v>149723.32879999999</v>
      </c>
      <c r="O16" s="76">
        <f>'Закупки и склад'!O$25*$C16</f>
        <v>157603.50399999999</v>
      </c>
      <c r="P16" s="76">
        <f>'Закупки и склад'!P$25*$C16</f>
        <v>165483.67919999998</v>
      </c>
      <c r="Q16" s="76">
        <f>'Закупки и склад'!Q$25*$C16</f>
        <v>173363.85439999998</v>
      </c>
      <c r="R16" s="76">
        <f>'Закупки и склад'!R$25*$C16</f>
        <v>197004.37999999998</v>
      </c>
      <c r="S16" s="76">
        <f>'Закупки и склад'!S$25*$C16</f>
        <v>204884.55519999997</v>
      </c>
      <c r="T16" s="76">
        <f>'Закупки и склад'!T$25*$C16</f>
        <v>141843.15359999999</v>
      </c>
      <c r="U16" s="76">
        <f>'Закупки и склад'!U$25*$C16</f>
        <v>157603.50399999999</v>
      </c>
      <c r="V16" s="76">
        <f>'Закупки и склад'!V$25*$C16</f>
        <v>165483.67919999998</v>
      </c>
      <c r="W16" s="76">
        <f>'Закупки и склад'!W$25*$C16</f>
        <v>165483.67919999998</v>
      </c>
    </row>
    <row r="17" spans="1:23" x14ac:dyDescent="0.25">
      <c r="A17" s="73" t="str">
        <f>""&amp;Допущения!$E$38</f>
        <v>Держатель телефона MagSafe</v>
      </c>
      <c r="B17" s="28" t="s">
        <v>108</v>
      </c>
      <c r="C17" s="74">
        <f>'Юнит-экономика'!$E$20</f>
        <v>473.76546666666667</v>
      </c>
      <c r="D17" s="75">
        <f t="shared" si="3"/>
        <v>1847685.3200000003</v>
      </c>
      <c r="E17" s="76"/>
      <c r="F17" s="76">
        <f>'Закупки и склад'!F$26*$C17</f>
        <v>0</v>
      </c>
      <c r="G17" s="76">
        <f>'Закупки и склад'!G$26*$C17</f>
        <v>0</v>
      </c>
      <c r="H17" s="76">
        <f>'Закупки и склад'!H$26*$C17</f>
        <v>36953.706400000003</v>
      </c>
      <c r="I17" s="76">
        <f>'Закупки и склад'!I$26*$C17</f>
        <v>61589.510666666669</v>
      </c>
      <c r="J17" s="76">
        <f>'Закупки и склад'!J$26*$C17</f>
        <v>86225.314933333328</v>
      </c>
      <c r="K17" s="76">
        <f>'Закупки и склад'!K$26*$C17</f>
        <v>104702.16813333334</v>
      </c>
      <c r="L17" s="76">
        <f>'Закупки и склад'!L$26*$C17</f>
        <v>123179.02133333334</v>
      </c>
      <c r="M17" s="76">
        <f>'Закупки и склад'!M$26*$C17</f>
        <v>123179.02133333334</v>
      </c>
      <c r="N17" s="76">
        <f>'Закупки и склад'!N$26*$C17</f>
        <v>117020.07026666666</v>
      </c>
      <c r="O17" s="76">
        <f>'Закупки и склад'!O$26*$C17</f>
        <v>123179.02133333334</v>
      </c>
      <c r="P17" s="76">
        <f>'Закупки и склад'!P$26*$C17</f>
        <v>129337.9724</v>
      </c>
      <c r="Q17" s="76">
        <f>'Закупки и склад'!Q$26*$C17</f>
        <v>135496.92346666666</v>
      </c>
      <c r="R17" s="76">
        <f>'Закупки и склад'!R$26*$C17</f>
        <v>153973.77666666667</v>
      </c>
      <c r="S17" s="76">
        <f>'Закупки и склад'!S$26*$C17</f>
        <v>160132.72773333333</v>
      </c>
      <c r="T17" s="76">
        <f>'Закупки и склад'!T$26*$C17</f>
        <v>110861.1192</v>
      </c>
      <c r="U17" s="76">
        <f>'Закупки и склад'!U$26*$C17</f>
        <v>123179.02133333334</v>
      </c>
      <c r="V17" s="76">
        <f>'Закупки и склад'!V$26*$C17</f>
        <v>129337.9724</v>
      </c>
      <c r="W17" s="76">
        <f>'Закупки и склад'!W$26*$C17</f>
        <v>129337.9724</v>
      </c>
    </row>
    <row r="18" spans="1:23" x14ac:dyDescent="0.25">
      <c r="A18" s="73" t="str">
        <f>""&amp;Допущения!$F$38</f>
        <v>Чехлы на сиденья, комплект</v>
      </c>
      <c r="B18" s="28" t="s">
        <v>108</v>
      </c>
      <c r="C18" s="74">
        <f>'Юнит-экономика'!$F$20</f>
        <v>2705.8110000000001</v>
      </c>
      <c r="D18" s="75">
        <f t="shared" si="3"/>
        <v>2435229.9</v>
      </c>
      <c r="E18" s="76"/>
      <c r="F18" s="76">
        <f>'Закупки и склад'!F$27*$C18</f>
        <v>0</v>
      </c>
      <c r="G18" s="76">
        <f>'Закупки и склад'!G$27*$C18</f>
        <v>0</v>
      </c>
      <c r="H18" s="76">
        <f>'Закупки и склад'!H$27*$C18</f>
        <v>48704.598000000005</v>
      </c>
      <c r="I18" s="76">
        <f>'Закупки и склад'!I$27*$C18</f>
        <v>81174.33</v>
      </c>
      <c r="J18" s="76">
        <f>'Закупки и склад'!J$27*$C18</f>
        <v>113644.06200000001</v>
      </c>
      <c r="K18" s="76">
        <f>'Закупки и склад'!K$27*$C18</f>
        <v>137996.361</v>
      </c>
      <c r="L18" s="76">
        <f>'Закупки и склад'!L$27*$C18</f>
        <v>162348.66</v>
      </c>
      <c r="M18" s="76">
        <f>'Закупки и склад'!M$27*$C18</f>
        <v>162348.66</v>
      </c>
      <c r="N18" s="76">
        <f>'Закупки и склад'!N$27*$C18</f>
        <v>154231.22700000001</v>
      </c>
      <c r="O18" s="76">
        <f>'Закупки и склад'!O$27*$C18</f>
        <v>162348.66</v>
      </c>
      <c r="P18" s="76">
        <f>'Закупки и склад'!P$27*$C18</f>
        <v>170466.09300000002</v>
      </c>
      <c r="Q18" s="76">
        <f>'Закупки и склад'!Q$27*$C18</f>
        <v>178583.52600000001</v>
      </c>
      <c r="R18" s="76">
        <f>'Закупки и склад'!R$27*$C18</f>
        <v>202935.82500000001</v>
      </c>
      <c r="S18" s="76">
        <f>'Закупки и склад'!S$27*$C18</f>
        <v>211053.258</v>
      </c>
      <c r="T18" s="76">
        <f>'Закупки и склад'!T$27*$C18</f>
        <v>146113.79399999999</v>
      </c>
      <c r="U18" s="76">
        <f>'Закупки и склад'!U$27*$C18</f>
        <v>162348.66</v>
      </c>
      <c r="V18" s="76">
        <f>'Закупки и склад'!V$27*$C18</f>
        <v>170466.09300000002</v>
      </c>
      <c r="W18" s="76">
        <f>'Закупки и склад'!W$27*$C18</f>
        <v>170466.09300000002</v>
      </c>
    </row>
    <row r="19" spans="1:23" x14ac:dyDescent="0.25">
      <c r="A19" s="73" t="str">
        <f>""&amp;Допущения!$G$38</f>
        <v>Видеорегистратор Wi-Fi</v>
      </c>
      <c r="B19" s="28" t="s">
        <v>108</v>
      </c>
      <c r="C19" s="74">
        <f>'Юнит-экономика'!$G$20</f>
        <v>1710.5291999999999</v>
      </c>
      <c r="D19" s="75">
        <f t="shared" si="3"/>
        <v>2314346.0076000006</v>
      </c>
      <c r="E19" s="76"/>
      <c r="F19" s="76">
        <f>'Закупки и склад'!F$28*$C19</f>
        <v>0</v>
      </c>
      <c r="G19" s="76">
        <f>'Закупки и склад'!G$28*$C19</f>
        <v>0</v>
      </c>
      <c r="H19" s="76">
        <f>'Закупки и склад'!H$28*$C19</f>
        <v>46184.288399999998</v>
      </c>
      <c r="I19" s="76">
        <f>'Закупки и склад'!I$28*$C19</f>
        <v>76973.813999999998</v>
      </c>
      <c r="J19" s="76">
        <f>'Закупки и склад'!J$28*$C19</f>
        <v>107763.33959999999</v>
      </c>
      <c r="K19" s="76">
        <f>'Закупки и склад'!K$28*$C19</f>
        <v>131710.74839999998</v>
      </c>
      <c r="L19" s="76">
        <f>'Закупки и склад'!L$28*$C19</f>
        <v>153947.628</v>
      </c>
      <c r="M19" s="76">
        <f>'Закупки и склад'!M$28*$C19</f>
        <v>153947.628</v>
      </c>
      <c r="N19" s="76">
        <f>'Закупки и склад'!N$28*$C19</f>
        <v>147105.51120000001</v>
      </c>
      <c r="O19" s="76">
        <f>'Закупки и склад'!O$28*$C19</f>
        <v>153947.628</v>
      </c>
      <c r="P19" s="76">
        <f>'Закупки и склад'!P$28*$C19</f>
        <v>162500.274</v>
      </c>
      <c r="Q19" s="76">
        <f>'Закупки и склад'!Q$28*$C19</f>
        <v>169342.39079999999</v>
      </c>
      <c r="R19" s="76">
        <f>'Закупки и склад'!R$28*$C19</f>
        <v>193289.7996</v>
      </c>
      <c r="S19" s="76">
        <f>'Закупки и склад'!S$28*$C19</f>
        <v>200131.91639999999</v>
      </c>
      <c r="T19" s="76">
        <f>'Закупки и склад'!T$28*$C19</f>
        <v>138552.8652</v>
      </c>
      <c r="U19" s="76">
        <f>'Закупки и склад'!U$28*$C19</f>
        <v>153947.628</v>
      </c>
      <c r="V19" s="76">
        <f>'Закупки и склад'!V$28*$C19</f>
        <v>162500.274</v>
      </c>
      <c r="W19" s="76">
        <f>'Закупки и склад'!W$28*$C19</f>
        <v>162500.274</v>
      </c>
    </row>
    <row r="20" spans="1:23" x14ac:dyDescent="0.25">
      <c r="A20" s="59" t="s">
        <v>365</v>
      </c>
      <c r="B20" s="60" t="s">
        <v>108</v>
      </c>
      <c r="C20" s="77"/>
      <c r="D20" s="75">
        <f t="shared" si="3"/>
        <v>13287424.932399999</v>
      </c>
      <c r="E20" s="75"/>
      <c r="F20" s="75">
        <f t="shared" ref="F20:W20" si="6">F8-F14</f>
        <v>0</v>
      </c>
      <c r="G20" s="75">
        <f t="shared" si="6"/>
        <v>0</v>
      </c>
      <c r="H20" s="75">
        <f t="shared" si="6"/>
        <v>265641.7304</v>
      </c>
      <c r="I20" s="75">
        <f t="shared" si="6"/>
        <v>442736.21733333333</v>
      </c>
      <c r="J20" s="75">
        <f t="shared" si="6"/>
        <v>619830.70426666667</v>
      </c>
      <c r="K20" s="75">
        <f t="shared" si="6"/>
        <v>753541.30486666667</v>
      </c>
      <c r="L20" s="75">
        <f t="shared" si="6"/>
        <v>885472.43466666667</v>
      </c>
      <c r="M20" s="75">
        <f t="shared" si="6"/>
        <v>885472.43466666667</v>
      </c>
      <c r="N20" s="75">
        <f t="shared" si="6"/>
        <v>842088.54833333334</v>
      </c>
      <c r="O20" s="75">
        <f t="shared" si="6"/>
        <v>885472.43466666667</v>
      </c>
      <c r="P20" s="75">
        <f t="shared" si="6"/>
        <v>930635.79180000001</v>
      </c>
      <c r="Q20" s="75">
        <f t="shared" si="6"/>
        <v>974019.67813333333</v>
      </c>
      <c r="R20" s="75">
        <f t="shared" si="6"/>
        <v>1107730.2787333333</v>
      </c>
      <c r="S20" s="75">
        <f t="shared" si="6"/>
        <v>1151114.1650666667</v>
      </c>
      <c r="T20" s="75">
        <f t="shared" si="6"/>
        <v>796925.1912</v>
      </c>
      <c r="U20" s="75">
        <f t="shared" si="6"/>
        <v>885472.43466666667</v>
      </c>
      <c r="V20" s="75">
        <f t="shared" si="6"/>
        <v>930635.79180000001</v>
      </c>
      <c r="W20" s="75">
        <f t="shared" si="6"/>
        <v>930635.79180000001</v>
      </c>
    </row>
    <row r="21" spans="1:23" x14ac:dyDescent="0.25">
      <c r="A21" s="62" t="s">
        <v>366</v>
      </c>
      <c r="B21" s="28" t="s">
        <v>117</v>
      </c>
      <c r="C21" s="79"/>
      <c r="D21" s="91">
        <f>IFERROR(D20/D8,0)</f>
        <v>0.54445569621269763</v>
      </c>
      <c r="E21" s="92"/>
      <c r="F21" s="92">
        <f t="shared" ref="F21:W21" si="7">IFERROR(F20/F8,0)</f>
        <v>0</v>
      </c>
      <c r="G21" s="92">
        <f t="shared" si="7"/>
        <v>0</v>
      </c>
      <c r="H21" s="92">
        <f t="shared" si="7"/>
        <v>0.5444705372112566</v>
      </c>
      <c r="I21" s="92">
        <f t="shared" si="7"/>
        <v>0.5444705372112566</v>
      </c>
      <c r="J21" s="92">
        <f t="shared" si="7"/>
        <v>0.5444705372112566</v>
      </c>
      <c r="K21" s="92">
        <f t="shared" si="7"/>
        <v>0.54442692353635336</v>
      </c>
      <c r="L21" s="92">
        <f t="shared" si="7"/>
        <v>0.5444705372112566</v>
      </c>
      <c r="M21" s="92">
        <f t="shared" si="7"/>
        <v>0.5444705372112566</v>
      </c>
      <c r="N21" s="92">
        <f t="shared" si="7"/>
        <v>0.54443150927009454</v>
      </c>
      <c r="O21" s="92">
        <f t="shared" si="7"/>
        <v>0.5444705372112566</v>
      </c>
      <c r="P21" s="92">
        <f t="shared" si="7"/>
        <v>0.54443522242242715</v>
      </c>
      <c r="Q21" s="92">
        <f t="shared" si="7"/>
        <v>0.5444705372112566</v>
      </c>
      <c r="R21" s="92">
        <f t="shared" si="7"/>
        <v>0.54444086794258062</v>
      </c>
      <c r="S21" s="92">
        <f t="shared" si="7"/>
        <v>0.5444705372112566</v>
      </c>
      <c r="T21" s="92">
        <f t="shared" si="7"/>
        <v>0.5444705372112566</v>
      </c>
      <c r="U21" s="92">
        <f t="shared" si="7"/>
        <v>0.5444705372112566</v>
      </c>
      <c r="V21" s="92">
        <f t="shared" si="7"/>
        <v>0.54443522242242715</v>
      </c>
      <c r="W21" s="92">
        <f t="shared" si="7"/>
        <v>0.54443522242242715</v>
      </c>
    </row>
    <row r="23" spans="1:23" x14ac:dyDescent="0.25">
      <c r="A23" s="59" t="s">
        <v>216</v>
      </c>
      <c r="B23" s="60" t="s">
        <v>108</v>
      </c>
      <c r="C23" s="77"/>
      <c r="D23" s="75">
        <f t="shared" ref="D23:D39" si="8">SUM(F23:W23)</f>
        <v>4631694.9000000004</v>
      </c>
      <c r="E23" s="75"/>
      <c r="F23" s="75">
        <f t="shared" ref="F23:W23" si="9">SUM(F24:F28)</f>
        <v>0</v>
      </c>
      <c r="G23" s="75">
        <f t="shared" si="9"/>
        <v>0</v>
      </c>
      <c r="H23" s="75">
        <f t="shared" si="9"/>
        <v>92598.3</v>
      </c>
      <c r="I23" s="75">
        <f t="shared" si="9"/>
        <v>154330.5</v>
      </c>
      <c r="J23" s="75">
        <f t="shared" si="9"/>
        <v>216062.69999999998</v>
      </c>
      <c r="K23" s="75">
        <f t="shared" si="9"/>
        <v>262658.5</v>
      </c>
      <c r="L23" s="75">
        <f t="shared" si="9"/>
        <v>308661</v>
      </c>
      <c r="M23" s="75">
        <f t="shared" si="9"/>
        <v>308661</v>
      </c>
      <c r="N23" s="75">
        <f t="shared" si="9"/>
        <v>293524.59999999998</v>
      </c>
      <c r="O23" s="75">
        <f t="shared" si="9"/>
        <v>308661</v>
      </c>
      <c r="P23" s="75">
        <f t="shared" si="9"/>
        <v>324390.7</v>
      </c>
      <c r="Q23" s="75">
        <f t="shared" si="9"/>
        <v>339527.10000000003</v>
      </c>
      <c r="R23" s="75">
        <f t="shared" si="9"/>
        <v>386122.9</v>
      </c>
      <c r="S23" s="75">
        <f t="shared" si="9"/>
        <v>401259.30000000005</v>
      </c>
      <c r="T23" s="75">
        <f t="shared" si="9"/>
        <v>277794.90000000002</v>
      </c>
      <c r="U23" s="75">
        <f t="shared" si="9"/>
        <v>308661</v>
      </c>
      <c r="V23" s="75">
        <f t="shared" si="9"/>
        <v>324390.7</v>
      </c>
      <c r="W23" s="75">
        <f t="shared" si="9"/>
        <v>324390.7</v>
      </c>
    </row>
    <row r="24" spans="1:23" x14ac:dyDescent="0.25">
      <c r="A24" s="73" t="str">
        <f>""&amp;Допущения!$C$38</f>
        <v>Органайзер в багажник</v>
      </c>
      <c r="B24" s="28" t="s">
        <v>108</v>
      </c>
      <c r="C24" s="79">
        <f>Допущения!$C$50</f>
        <v>0.2</v>
      </c>
      <c r="D24" s="75">
        <f t="shared" si="8"/>
        <v>1045800</v>
      </c>
      <c r="E24" s="76"/>
      <c r="F24" s="76">
        <f t="shared" ref="F24:W24" si="10">F9*$C24</f>
        <v>0</v>
      </c>
      <c r="G24" s="76">
        <f t="shared" si="10"/>
        <v>0</v>
      </c>
      <c r="H24" s="76">
        <f t="shared" si="10"/>
        <v>20916</v>
      </c>
      <c r="I24" s="76">
        <f t="shared" si="10"/>
        <v>34860</v>
      </c>
      <c r="J24" s="76">
        <f t="shared" si="10"/>
        <v>48804</v>
      </c>
      <c r="K24" s="76">
        <f t="shared" si="10"/>
        <v>59262</v>
      </c>
      <c r="L24" s="76">
        <f t="shared" si="10"/>
        <v>69720</v>
      </c>
      <c r="M24" s="76">
        <f t="shared" si="10"/>
        <v>69720</v>
      </c>
      <c r="N24" s="76">
        <f t="shared" si="10"/>
        <v>66234</v>
      </c>
      <c r="O24" s="76">
        <f t="shared" si="10"/>
        <v>69720</v>
      </c>
      <c r="P24" s="76">
        <f t="shared" si="10"/>
        <v>73206</v>
      </c>
      <c r="Q24" s="76">
        <f t="shared" si="10"/>
        <v>76692</v>
      </c>
      <c r="R24" s="76">
        <f t="shared" si="10"/>
        <v>87150</v>
      </c>
      <c r="S24" s="76">
        <f t="shared" si="10"/>
        <v>90636</v>
      </c>
      <c r="T24" s="76">
        <f t="shared" si="10"/>
        <v>62748</v>
      </c>
      <c r="U24" s="76">
        <f t="shared" si="10"/>
        <v>69720</v>
      </c>
      <c r="V24" s="76">
        <f t="shared" si="10"/>
        <v>73206</v>
      </c>
      <c r="W24" s="76">
        <f t="shared" si="10"/>
        <v>73206</v>
      </c>
    </row>
    <row r="25" spans="1:23" x14ac:dyDescent="0.25">
      <c r="A25" s="73" t="str">
        <f>""&amp;Допущения!$D$38</f>
        <v>Автопылесос беспроводной</v>
      </c>
      <c r="B25" s="28" t="s">
        <v>108</v>
      </c>
      <c r="C25" s="79">
        <f>Допущения!$D$50</f>
        <v>0.18</v>
      </c>
      <c r="D25" s="75">
        <f t="shared" si="8"/>
        <v>968759.99999999988</v>
      </c>
      <c r="E25" s="76"/>
      <c r="F25" s="76">
        <f t="shared" ref="F25:W25" si="11">F10*$C25</f>
        <v>0</v>
      </c>
      <c r="G25" s="76">
        <f t="shared" si="11"/>
        <v>0</v>
      </c>
      <c r="H25" s="76">
        <f t="shared" si="11"/>
        <v>19375.2</v>
      </c>
      <c r="I25" s="76">
        <f t="shared" si="11"/>
        <v>32292</v>
      </c>
      <c r="J25" s="76">
        <f t="shared" si="11"/>
        <v>45208.799999999996</v>
      </c>
      <c r="K25" s="76">
        <f t="shared" si="11"/>
        <v>54896.4</v>
      </c>
      <c r="L25" s="76">
        <f t="shared" si="11"/>
        <v>64584</v>
      </c>
      <c r="M25" s="76">
        <f t="shared" si="11"/>
        <v>64584</v>
      </c>
      <c r="N25" s="76">
        <f t="shared" si="11"/>
        <v>61354.799999999996</v>
      </c>
      <c r="O25" s="76">
        <f t="shared" si="11"/>
        <v>64584</v>
      </c>
      <c r="P25" s="76">
        <f t="shared" si="11"/>
        <v>67813.2</v>
      </c>
      <c r="Q25" s="76">
        <f t="shared" si="11"/>
        <v>71042.399999999994</v>
      </c>
      <c r="R25" s="76">
        <f t="shared" si="11"/>
        <v>80730</v>
      </c>
      <c r="S25" s="76">
        <f t="shared" si="11"/>
        <v>83959.2</v>
      </c>
      <c r="T25" s="76">
        <f t="shared" si="11"/>
        <v>58125.599999999999</v>
      </c>
      <c r="U25" s="76">
        <f t="shared" si="11"/>
        <v>64584</v>
      </c>
      <c r="V25" s="76">
        <f t="shared" si="11"/>
        <v>67813.2</v>
      </c>
      <c r="W25" s="76">
        <f t="shared" si="11"/>
        <v>67813.2</v>
      </c>
    </row>
    <row r="26" spans="1:23" x14ac:dyDescent="0.25">
      <c r="A26" s="73" t="str">
        <f>""&amp;Допущения!$E$38</f>
        <v>Держатель телефона MagSafe</v>
      </c>
      <c r="B26" s="28" t="s">
        <v>108</v>
      </c>
      <c r="C26" s="79">
        <f>Допущения!$E$50</f>
        <v>0.2</v>
      </c>
      <c r="D26" s="75">
        <f t="shared" si="8"/>
        <v>1006200</v>
      </c>
      <c r="E26" s="76"/>
      <c r="F26" s="76">
        <f t="shared" ref="F26:W26" si="12">F11*$C26</f>
        <v>0</v>
      </c>
      <c r="G26" s="76">
        <f t="shared" si="12"/>
        <v>0</v>
      </c>
      <c r="H26" s="76">
        <f t="shared" si="12"/>
        <v>20124</v>
      </c>
      <c r="I26" s="76">
        <f t="shared" si="12"/>
        <v>33540</v>
      </c>
      <c r="J26" s="76">
        <f t="shared" si="12"/>
        <v>46956</v>
      </c>
      <c r="K26" s="76">
        <f t="shared" si="12"/>
        <v>57018</v>
      </c>
      <c r="L26" s="76">
        <f t="shared" si="12"/>
        <v>67080</v>
      </c>
      <c r="M26" s="76">
        <f t="shared" si="12"/>
        <v>67080</v>
      </c>
      <c r="N26" s="76">
        <f t="shared" si="12"/>
        <v>63726</v>
      </c>
      <c r="O26" s="76">
        <f t="shared" si="12"/>
        <v>67080</v>
      </c>
      <c r="P26" s="76">
        <f t="shared" si="12"/>
        <v>70434</v>
      </c>
      <c r="Q26" s="76">
        <f t="shared" si="12"/>
        <v>73788</v>
      </c>
      <c r="R26" s="76">
        <f t="shared" si="12"/>
        <v>83850</v>
      </c>
      <c r="S26" s="76">
        <f t="shared" si="12"/>
        <v>87204</v>
      </c>
      <c r="T26" s="76">
        <f t="shared" si="12"/>
        <v>60372</v>
      </c>
      <c r="U26" s="76">
        <f t="shared" si="12"/>
        <v>67080</v>
      </c>
      <c r="V26" s="76">
        <f t="shared" si="12"/>
        <v>70434</v>
      </c>
      <c r="W26" s="76">
        <f t="shared" si="12"/>
        <v>70434</v>
      </c>
    </row>
    <row r="27" spans="1:23" x14ac:dyDescent="0.25">
      <c r="A27" s="73" t="str">
        <f>""&amp;Допущения!$F$38</f>
        <v>Чехлы на сиденья, комплект</v>
      </c>
      <c r="B27" s="28" t="s">
        <v>108</v>
      </c>
      <c r="C27" s="79">
        <f>Допущения!$F$50</f>
        <v>0.2</v>
      </c>
      <c r="D27" s="75">
        <f t="shared" si="8"/>
        <v>808200</v>
      </c>
      <c r="E27" s="76"/>
      <c r="F27" s="76">
        <f t="shared" ref="F27:W27" si="13">F12*$C27</f>
        <v>0</v>
      </c>
      <c r="G27" s="76">
        <f t="shared" si="13"/>
        <v>0</v>
      </c>
      <c r="H27" s="76">
        <f t="shared" si="13"/>
        <v>16164</v>
      </c>
      <c r="I27" s="76">
        <f t="shared" si="13"/>
        <v>26940</v>
      </c>
      <c r="J27" s="76">
        <f t="shared" si="13"/>
        <v>37716</v>
      </c>
      <c r="K27" s="76">
        <f t="shared" si="13"/>
        <v>45798</v>
      </c>
      <c r="L27" s="76">
        <f t="shared" si="13"/>
        <v>53880</v>
      </c>
      <c r="M27" s="76">
        <f t="shared" si="13"/>
        <v>53880</v>
      </c>
      <c r="N27" s="76">
        <f t="shared" si="13"/>
        <v>51186</v>
      </c>
      <c r="O27" s="76">
        <f t="shared" si="13"/>
        <v>53880</v>
      </c>
      <c r="P27" s="76">
        <f t="shared" si="13"/>
        <v>56574</v>
      </c>
      <c r="Q27" s="76">
        <f t="shared" si="13"/>
        <v>59268</v>
      </c>
      <c r="R27" s="76">
        <f t="shared" si="13"/>
        <v>67350</v>
      </c>
      <c r="S27" s="76">
        <f t="shared" si="13"/>
        <v>70044</v>
      </c>
      <c r="T27" s="76">
        <f t="shared" si="13"/>
        <v>48492</v>
      </c>
      <c r="U27" s="76">
        <f t="shared" si="13"/>
        <v>53880</v>
      </c>
      <c r="V27" s="76">
        <f t="shared" si="13"/>
        <v>56574</v>
      </c>
      <c r="W27" s="76">
        <f t="shared" si="13"/>
        <v>56574</v>
      </c>
    </row>
    <row r="28" spans="1:23" x14ac:dyDescent="0.25">
      <c r="A28" s="73" t="str">
        <f>""&amp;Допущения!$G$38</f>
        <v>Видеорегистратор Wi-Fi</v>
      </c>
      <c r="B28" s="28" t="s">
        <v>108</v>
      </c>
      <c r="C28" s="79">
        <f>Допущения!$G$50</f>
        <v>0.17</v>
      </c>
      <c r="D28" s="75">
        <f t="shared" si="8"/>
        <v>802734.90000000014</v>
      </c>
      <c r="E28" s="76"/>
      <c r="F28" s="76">
        <f t="shared" ref="F28:W28" si="14">F13*$C28</f>
        <v>0</v>
      </c>
      <c r="G28" s="76">
        <f t="shared" si="14"/>
        <v>0</v>
      </c>
      <c r="H28" s="76">
        <f t="shared" si="14"/>
        <v>16019.1</v>
      </c>
      <c r="I28" s="76">
        <f t="shared" si="14"/>
        <v>26698.500000000004</v>
      </c>
      <c r="J28" s="76">
        <f t="shared" si="14"/>
        <v>37377.9</v>
      </c>
      <c r="K28" s="76">
        <f t="shared" si="14"/>
        <v>45684.100000000006</v>
      </c>
      <c r="L28" s="76">
        <f t="shared" si="14"/>
        <v>53397.000000000007</v>
      </c>
      <c r="M28" s="76">
        <f t="shared" si="14"/>
        <v>53397.000000000007</v>
      </c>
      <c r="N28" s="76">
        <f t="shared" si="14"/>
        <v>51023.8</v>
      </c>
      <c r="O28" s="76">
        <f t="shared" si="14"/>
        <v>53397.000000000007</v>
      </c>
      <c r="P28" s="76">
        <f t="shared" si="14"/>
        <v>56363.500000000007</v>
      </c>
      <c r="Q28" s="76">
        <f t="shared" si="14"/>
        <v>58736.700000000004</v>
      </c>
      <c r="R28" s="76">
        <f t="shared" si="14"/>
        <v>67042.900000000009</v>
      </c>
      <c r="S28" s="76">
        <f t="shared" si="14"/>
        <v>69416.100000000006</v>
      </c>
      <c r="T28" s="76">
        <f t="shared" si="14"/>
        <v>48057.3</v>
      </c>
      <c r="U28" s="76">
        <f t="shared" si="14"/>
        <v>53397.000000000007</v>
      </c>
      <c r="V28" s="76">
        <f t="shared" si="14"/>
        <v>56363.500000000007</v>
      </c>
      <c r="W28" s="76">
        <f t="shared" si="14"/>
        <v>56363.500000000007</v>
      </c>
    </row>
    <row r="29" spans="1:23" x14ac:dyDescent="0.25">
      <c r="A29" s="59" t="s">
        <v>367</v>
      </c>
      <c r="B29" s="60" t="s">
        <v>108</v>
      </c>
      <c r="C29" s="77"/>
      <c r="D29" s="75">
        <f t="shared" si="8"/>
        <v>1051458.7747419036</v>
      </c>
      <c r="E29" s="75"/>
      <c r="F29" s="75">
        <f t="shared" ref="F29:W29" si="15">SUM(F30:F34)</f>
        <v>0</v>
      </c>
      <c r="G29" s="75">
        <f t="shared" si="15"/>
        <v>0</v>
      </c>
      <c r="H29" s="75">
        <f t="shared" si="15"/>
        <v>21023.604066266649</v>
      </c>
      <c r="I29" s="75">
        <f t="shared" si="15"/>
        <v>35039.340110444413</v>
      </c>
      <c r="J29" s="75">
        <f t="shared" si="15"/>
        <v>49055.076154622177</v>
      </c>
      <c r="K29" s="75">
        <f t="shared" si="15"/>
        <v>59613.306759184066</v>
      </c>
      <c r="L29" s="75">
        <f t="shared" si="15"/>
        <v>70078.680220888826</v>
      </c>
      <c r="M29" s="75">
        <f t="shared" si="15"/>
        <v>70078.680220888826</v>
      </c>
      <c r="N29" s="75">
        <f t="shared" si="15"/>
        <v>66621.174781272959</v>
      </c>
      <c r="O29" s="75">
        <f t="shared" si="15"/>
        <v>70078.680220888826</v>
      </c>
      <c r="P29" s="75">
        <f t="shared" si="15"/>
        <v>73629.042803361837</v>
      </c>
      <c r="Q29" s="75">
        <f t="shared" si="15"/>
        <v>77086.548242977718</v>
      </c>
      <c r="R29" s="75">
        <f t="shared" si="15"/>
        <v>87644.778847539608</v>
      </c>
      <c r="S29" s="75">
        <f t="shared" si="15"/>
        <v>91102.284287155475</v>
      </c>
      <c r="T29" s="75">
        <f t="shared" si="15"/>
        <v>63070.812198799948</v>
      </c>
      <c r="U29" s="75">
        <f t="shared" si="15"/>
        <v>70078.680220888826</v>
      </c>
      <c r="V29" s="75">
        <f t="shared" si="15"/>
        <v>73629.042803361837</v>
      </c>
      <c r="W29" s="75">
        <f t="shared" si="15"/>
        <v>73629.042803361837</v>
      </c>
    </row>
    <row r="30" spans="1:23" x14ac:dyDescent="0.25">
      <c r="A30" s="73" t="str">
        <f>""&amp;Допущения!$C$38</f>
        <v>Органайзер в багажник</v>
      </c>
      <c r="B30" s="28" t="s">
        <v>108</v>
      </c>
      <c r="C30" s="81">
        <f>'Юнит-экономика'!$C$25</f>
        <v>118.42105263157896</v>
      </c>
      <c r="D30" s="75">
        <f t="shared" si="8"/>
        <v>248684.21052631584</v>
      </c>
      <c r="E30" s="76"/>
      <c r="F30" s="76">
        <f>'Закупки и склад'!F$24*$C30</f>
        <v>0</v>
      </c>
      <c r="G30" s="76">
        <f>'Закупки и склад'!G$24*$C30</f>
        <v>0</v>
      </c>
      <c r="H30" s="76">
        <f>'Закупки и склад'!H$24*$C30</f>
        <v>4973.6842105263167</v>
      </c>
      <c r="I30" s="76">
        <f>'Закупки и склад'!I$24*$C30</f>
        <v>8289.4736842105267</v>
      </c>
      <c r="J30" s="76">
        <f>'Закупки и склад'!J$24*$C30</f>
        <v>11605.263157894738</v>
      </c>
      <c r="K30" s="76">
        <f>'Закупки и склад'!K$24*$C30</f>
        <v>14092.105263157897</v>
      </c>
      <c r="L30" s="76">
        <f>'Закупки и склад'!L$24*$C30</f>
        <v>16578.947368421053</v>
      </c>
      <c r="M30" s="76">
        <f>'Закупки и склад'!M$24*$C30</f>
        <v>16578.947368421053</v>
      </c>
      <c r="N30" s="76">
        <f>'Закупки и склад'!N$24*$C30</f>
        <v>15750.000000000002</v>
      </c>
      <c r="O30" s="76">
        <f>'Закупки и склад'!O$24*$C30</f>
        <v>16578.947368421053</v>
      </c>
      <c r="P30" s="76">
        <f>'Закупки и склад'!P$24*$C30</f>
        <v>17407.894736842107</v>
      </c>
      <c r="Q30" s="76">
        <f>'Закупки и склад'!Q$24*$C30</f>
        <v>18236.84210526316</v>
      </c>
      <c r="R30" s="76">
        <f>'Закупки и склад'!R$24*$C30</f>
        <v>20723.684210526317</v>
      </c>
      <c r="S30" s="76">
        <f>'Закупки и склад'!S$24*$C30</f>
        <v>21552.63157894737</v>
      </c>
      <c r="T30" s="76">
        <f>'Закупки и склад'!T$24*$C30</f>
        <v>14921.052631578948</v>
      </c>
      <c r="U30" s="76">
        <f>'Закупки и склад'!U$24*$C30</f>
        <v>16578.947368421053</v>
      </c>
      <c r="V30" s="76">
        <f>'Закупки и склад'!V$24*$C30</f>
        <v>17407.894736842107</v>
      </c>
      <c r="W30" s="76">
        <f>'Закупки и склад'!W$24*$C30</f>
        <v>17407.894736842107</v>
      </c>
    </row>
    <row r="31" spans="1:23" x14ac:dyDescent="0.25">
      <c r="A31" s="73" t="str">
        <f>""&amp;Допущения!$D$38</f>
        <v>Автопылесос беспроводной</v>
      </c>
      <c r="B31" s="28" t="s">
        <v>108</v>
      </c>
      <c r="C31" s="81">
        <f>'Юнит-экономика'!$D$25</f>
        <v>102.17391304347825</v>
      </c>
      <c r="D31" s="75">
        <f t="shared" si="8"/>
        <v>183913.04347826086</v>
      </c>
      <c r="E31" s="76"/>
      <c r="F31" s="76">
        <f>'Закупки и склад'!F$25*$C31</f>
        <v>0</v>
      </c>
      <c r="G31" s="76">
        <f>'Закупки и склад'!G$25*$C31</f>
        <v>0</v>
      </c>
      <c r="H31" s="76">
        <f>'Закупки и склад'!H$25*$C31</f>
        <v>3678.260869565217</v>
      </c>
      <c r="I31" s="76">
        <f>'Закупки и склад'!I$25*$C31</f>
        <v>6130.4347826086951</v>
      </c>
      <c r="J31" s="76">
        <f>'Закупки и склад'!J$25*$C31</f>
        <v>8582.6086956521722</v>
      </c>
      <c r="K31" s="76">
        <f>'Закупки и склад'!K$25*$C31</f>
        <v>10421.739130434782</v>
      </c>
      <c r="L31" s="76">
        <f>'Закупки и склад'!L$25*$C31</f>
        <v>12260.86956521739</v>
      </c>
      <c r="M31" s="76">
        <f>'Закупки и склад'!M$25*$C31</f>
        <v>12260.86956521739</v>
      </c>
      <c r="N31" s="76">
        <f>'Закупки и склад'!N$25*$C31</f>
        <v>11647.82608695652</v>
      </c>
      <c r="O31" s="76">
        <f>'Закупки и склад'!O$25*$C31</f>
        <v>12260.86956521739</v>
      </c>
      <c r="P31" s="76">
        <f>'Закупки и склад'!P$25*$C31</f>
        <v>12873.91304347826</v>
      </c>
      <c r="Q31" s="76">
        <f>'Закупки и склад'!Q$25*$C31</f>
        <v>13486.956521739128</v>
      </c>
      <c r="R31" s="76">
        <f>'Закупки и склад'!R$25*$C31</f>
        <v>15326.086956521738</v>
      </c>
      <c r="S31" s="76">
        <f>'Закупки и склад'!S$25*$C31</f>
        <v>15939.130434782608</v>
      </c>
      <c r="T31" s="76">
        <f>'Закупки и склад'!T$25*$C31</f>
        <v>11034.782608695652</v>
      </c>
      <c r="U31" s="76">
        <f>'Закупки и склад'!U$25*$C31</f>
        <v>12260.86956521739</v>
      </c>
      <c r="V31" s="76">
        <f>'Закупки и склад'!V$25*$C31</f>
        <v>12873.91304347826</v>
      </c>
      <c r="W31" s="76">
        <f>'Закупки и склад'!W$25*$C31</f>
        <v>12873.91304347826</v>
      </c>
    </row>
    <row r="32" spans="1:23" x14ac:dyDescent="0.25">
      <c r="A32" s="73" t="str">
        <f>""&amp;Допущения!$E$38</f>
        <v>Держатель телефона MagSafe</v>
      </c>
      <c r="B32" s="28" t="s">
        <v>108</v>
      </c>
      <c r="C32" s="81">
        <f>'Юнит-экономика'!$E$25</f>
        <v>79.032258064516128</v>
      </c>
      <c r="D32" s="75">
        <f t="shared" si="8"/>
        <v>308225.80645161291</v>
      </c>
      <c r="E32" s="76"/>
      <c r="F32" s="76">
        <f>'Закупки и склад'!F$26*$C32</f>
        <v>0</v>
      </c>
      <c r="G32" s="76">
        <f>'Закупки и склад'!G$26*$C32</f>
        <v>0</v>
      </c>
      <c r="H32" s="76">
        <f>'Закупки и склад'!H$26*$C32</f>
        <v>6164.5161290322576</v>
      </c>
      <c r="I32" s="76">
        <f>'Закупки и склад'!I$26*$C32</f>
        <v>10274.193548387097</v>
      </c>
      <c r="J32" s="76">
        <f>'Закупки и склад'!J$26*$C32</f>
        <v>14383.870967741936</v>
      </c>
      <c r="K32" s="76">
        <f>'Закупки и склад'!K$26*$C32</f>
        <v>17466.129032258064</v>
      </c>
      <c r="L32" s="76">
        <f>'Закупки и склад'!L$26*$C32</f>
        <v>20548.387096774193</v>
      </c>
      <c r="M32" s="76">
        <f>'Закупки и склад'!M$26*$C32</f>
        <v>20548.387096774193</v>
      </c>
      <c r="N32" s="76">
        <f>'Закупки и склад'!N$26*$C32</f>
        <v>19520.967741935485</v>
      </c>
      <c r="O32" s="76">
        <f>'Закупки и склад'!O$26*$C32</f>
        <v>20548.387096774193</v>
      </c>
      <c r="P32" s="76">
        <f>'Закупки и склад'!P$26*$C32</f>
        <v>21575.806451612902</v>
      </c>
      <c r="Q32" s="76">
        <f>'Закупки и склад'!Q$26*$C32</f>
        <v>22603.225806451614</v>
      </c>
      <c r="R32" s="76">
        <f>'Закупки и склад'!R$26*$C32</f>
        <v>25685.483870967742</v>
      </c>
      <c r="S32" s="76">
        <f>'Закупки и склад'!S$26*$C32</f>
        <v>26712.903225806451</v>
      </c>
      <c r="T32" s="76">
        <f>'Закупки и склад'!T$26*$C32</f>
        <v>18493.548387096773</v>
      </c>
      <c r="U32" s="76">
        <f>'Закупки и склад'!U$26*$C32</f>
        <v>20548.387096774193</v>
      </c>
      <c r="V32" s="76">
        <f>'Закупки и склад'!V$26*$C32</f>
        <v>21575.806451612902</v>
      </c>
      <c r="W32" s="76">
        <f>'Закупки и склад'!W$26*$C32</f>
        <v>21575.806451612902</v>
      </c>
    </row>
    <row r="33" spans="1:23" x14ac:dyDescent="0.25">
      <c r="A33" s="73" t="str">
        <f>""&amp;Допущения!$F$38</f>
        <v>Чехлы на сиденья, комплект</v>
      </c>
      <c r="B33" s="28" t="s">
        <v>108</v>
      </c>
      <c r="C33" s="81">
        <f>'Юнит-экономика'!$F$25</f>
        <v>205.55555555555554</v>
      </c>
      <c r="D33" s="75">
        <f t="shared" si="8"/>
        <v>185000.00000000003</v>
      </c>
      <c r="E33" s="76"/>
      <c r="F33" s="76">
        <f>'Закупки и склад'!F$27*$C33</f>
        <v>0</v>
      </c>
      <c r="G33" s="76">
        <f>'Закупки и склад'!G$27*$C33</f>
        <v>0</v>
      </c>
      <c r="H33" s="76">
        <f>'Закупки и склад'!H$27*$C33</f>
        <v>3700</v>
      </c>
      <c r="I33" s="76">
        <f>'Закупки и склад'!I$27*$C33</f>
        <v>6166.6666666666661</v>
      </c>
      <c r="J33" s="76">
        <f>'Закупки и склад'!J$27*$C33</f>
        <v>8633.3333333333321</v>
      </c>
      <c r="K33" s="76">
        <f>'Закупки и склад'!K$27*$C33</f>
        <v>10483.333333333332</v>
      </c>
      <c r="L33" s="76">
        <f>'Закупки и склад'!L$27*$C33</f>
        <v>12333.333333333332</v>
      </c>
      <c r="M33" s="76">
        <f>'Закупки и склад'!M$27*$C33</f>
        <v>12333.333333333332</v>
      </c>
      <c r="N33" s="76">
        <f>'Закупки и склад'!N$27*$C33</f>
        <v>11716.666666666666</v>
      </c>
      <c r="O33" s="76">
        <f>'Закупки и склад'!O$27*$C33</f>
        <v>12333.333333333332</v>
      </c>
      <c r="P33" s="76">
        <f>'Закупки и склад'!P$27*$C33</f>
        <v>12950</v>
      </c>
      <c r="Q33" s="76">
        <f>'Закупки и склад'!Q$27*$C33</f>
        <v>13566.666666666666</v>
      </c>
      <c r="R33" s="76">
        <f>'Закупки и склад'!R$27*$C33</f>
        <v>15416.666666666666</v>
      </c>
      <c r="S33" s="76">
        <f>'Закупки и склад'!S$27*$C33</f>
        <v>16033.333333333332</v>
      </c>
      <c r="T33" s="76">
        <f>'Закупки и склад'!T$27*$C33</f>
        <v>11100</v>
      </c>
      <c r="U33" s="76">
        <f>'Закупки и склад'!U$27*$C33</f>
        <v>12333.333333333332</v>
      </c>
      <c r="V33" s="76">
        <f>'Закупки и склад'!V$27*$C33</f>
        <v>12950</v>
      </c>
      <c r="W33" s="76">
        <f>'Закупки и склад'!W$27*$C33</f>
        <v>12950</v>
      </c>
    </row>
    <row r="34" spans="1:23" x14ac:dyDescent="0.25">
      <c r="A34" s="73" t="str">
        <f>""&amp;Допущения!$G$38</f>
        <v>Видеорегистратор Wi-Fi</v>
      </c>
      <c r="B34" s="28" t="s">
        <v>108</v>
      </c>
      <c r="C34" s="81">
        <f>'Юнит-экономика'!$G$25</f>
        <v>92.857142857142847</v>
      </c>
      <c r="D34" s="75">
        <f t="shared" si="8"/>
        <v>125635.71428571425</v>
      </c>
      <c r="E34" s="76"/>
      <c r="F34" s="76">
        <f>'Закупки и склад'!F$28*$C34</f>
        <v>0</v>
      </c>
      <c r="G34" s="76">
        <f>'Закупки и склад'!G$28*$C34</f>
        <v>0</v>
      </c>
      <c r="H34" s="76">
        <f>'Закупки и склад'!H$28*$C34</f>
        <v>2507.1428571428569</v>
      </c>
      <c r="I34" s="76">
        <f>'Закупки и склад'!I$28*$C34</f>
        <v>4178.5714285714284</v>
      </c>
      <c r="J34" s="76">
        <f>'Закупки и склад'!J$28*$C34</f>
        <v>5849.9999999999991</v>
      </c>
      <c r="K34" s="76">
        <f>'Закупки и склад'!K$28*$C34</f>
        <v>7149.9999999999991</v>
      </c>
      <c r="L34" s="76">
        <f>'Закупки и склад'!L$28*$C34</f>
        <v>8357.1428571428569</v>
      </c>
      <c r="M34" s="76">
        <f>'Закупки и склад'!M$28*$C34</f>
        <v>8357.1428571428569</v>
      </c>
      <c r="N34" s="76">
        <f>'Закупки и склад'!N$28*$C34</f>
        <v>7985.7142857142844</v>
      </c>
      <c r="O34" s="76">
        <f>'Закупки и склад'!O$28*$C34</f>
        <v>8357.1428571428569</v>
      </c>
      <c r="P34" s="76">
        <f>'Закупки и склад'!P$28*$C34</f>
        <v>8821.4285714285706</v>
      </c>
      <c r="Q34" s="76">
        <f>'Закупки и склад'!Q$28*$C34</f>
        <v>9192.8571428571413</v>
      </c>
      <c r="R34" s="76">
        <f>'Закупки и склад'!R$28*$C34</f>
        <v>10492.857142857141</v>
      </c>
      <c r="S34" s="76">
        <f>'Закупки и склад'!S$28*$C34</f>
        <v>10864.285714285714</v>
      </c>
      <c r="T34" s="76">
        <f>'Закупки и склад'!T$28*$C34</f>
        <v>7521.4285714285706</v>
      </c>
      <c r="U34" s="76">
        <f>'Закупки и склад'!U$28*$C34</f>
        <v>8357.1428571428569</v>
      </c>
      <c r="V34" s="76">
        <f>'Закупки и склад'!V$28*$C34</f>
        <v>8821.4285714285706</v>
      </c>
      <c r="W34" s="76">
        <f>'Закупки и склад'!W$28*$C34</f>
        <v>8821.4285714285706</v>
      </c>
    </row>
    <row r="35" spans="1:23" x14ac:dyDescent="0.25">
      <c r="A35" s="62" t="s">
        <v>288</v>
      </c>
      <c r="B35" s="28" t="s">
        <v>108</v>
      </c>
      <c r="C35" s="79">
        <f>ДРР</f>
        <v>0.08</v>
      </c>
      <c r="D35" s="75">
        <f t="shared" si="8"/>
        <v>1952397.6</v>
      </c>
      <c r="E35" s="76"/>
      <c r="F35" s="76">
        <f t="shared" ref="F35:W35" si="16">F8*$C35</f>
        <v>0</v>
      </c>
      <c r="G35" s="76">
        <f t="shared" si="16"/>
        <v>0</v>
      </c>
      <c r="H35" s="76">
        <f t="shared" si="16"/>
        <v>39031.200000000004</v>
      </c>
      <c r="I35" s="76">
        <f t="shared" si="16"/>
        <v>65052</v>
      </c>
      <c r="J35" s="76">
        <f t="shared" si="16"/>
        <v>91072.8</v>
      </c>
      <c r="K35" s="76">
        <f t="shared" si="16"/>
        <v>110728</v>
      </c>
      <c r="L35" s="76">
        <f t="shared" si="16"/>
        <v>130104</v>
      </c>
      <c r="M35" s="76">
        <f t="shared" si="16"/>
        <v>130104</v>
      </c>
      <c r="N35" s="76">
        <f t="shared" si="16"/>
        <v>123738.40000000001</v>
      </c>
      <c r="O35" s="76">
        <f t="shared" si="16"/>
        <v>130104</v>
      </c>
      <c r="P35" s="76">
        <f t="shared" si="16"/>
        <v>136748.79999999999</v>
      </c>
      <c r="Q35" s="76">
        <f t="shared" si="16"/>
        <v>143114.4</v>
      </c>
      <c r="R35" s="76">
        <f t="shared" si="16"/>
        <v>162769.60000000001</v>
      </c>
      <c r="S35" s="76">
        <f t="shared" si="16"/>
        <v>169135.2</v>
      </c>
      <c r="T35" s="76">
        <f t="shared" si="16"/>
        <v>117093.6</v>
      </c>
      <c r="U35" s="76">
        <f t="shared" si="16"/>
        <v>130104</v>
      </c>
      <c r="V35" s="76">
        <f t="shared" si="16"/>
        <v>136748.79999999999</v>
      </c>
      <c r="W35" s="76">
        <f t="shared" si="16"/>
        <v>136748.79999999999</v>
      </c>
    </row>
    <row r="36" spans="1:23" x14ac:dyDescent="0.25">
      <c r="A36" s="62" t="s">
        <v>335</v>
      </c>
      <c r="B36" s="28" t="s">
        <v>108</v>
      </c>
      <c r="C36" s="74">
        <f>Пост_расходы</f>
        <v>50000</v>
      </c>
      <c r="D36" s="75">
        <f t="shared" si="8"/>
        <v>900000</v>
      </c>
      <c r="E36" s="76"/>
      <c r="F36" s="76">
        <f t="shared" ref="F36:W36" si="17">$C36</f>
        <v>50000</v>
      </c>
      <c r="G36" s="76">
        <f t="shared" si="17"/>
        <v>50000</v>
      </c>
      <c r="H36" s="76">
        <f t="shared" si="17"/>
        <v>50000</v>
      </c>
      <c r="I36" s="76">
        <f t="shared" si="17"/>
        <v>50000</v>
      </c>
      <c r="J36" s="76">
        <f t="shared" si="17"/>
        <v>50000</v>
      </c>
      <c r="K36" s="76">
        <f t="shared" si="17"/>
        <v>50000</v>
      </c>
      <c r="L36" s="76">
        <f t="shared" si="17"/>
        <v>50000</v>
      </c>
      <c r="M36" s="76">
        <f t="shared" si="17"/>
        <v>50000</v>
      </c>
      <c r="N36" s="76">
        <f t="shared" si="17"/>
        <v>50000</v>
      </c>
      <c r="O36" s="76">
        <f t="shared" si="17"/>
        <v>50000</v>
      </c>
      <c r="P36" s="76">
        <f t="shared" si="17"/>
        <v>50000</v>
      </c>
      <c r="Q36" s="76">
        <f t="shared" si="17"/>
        <v>50000</v>
      </c>
      <c r="R36" s="76">
        <f t="shared" si="17"/>
        <v>50000</v>
      </c>
      <c r="S36" s="76">
        <f t="shared" si="17"/>
        <v>50000</v>
      </c>
      <c r="T36" s="76">
        <f t="shared" si="17"/>
        <v>50000</v>
      </c>
      <c r="U36" s="76">
        <f t="shared" si="17"/>
        <v>50000</v>
      </c>
      <c r="V36" s="76">
        <f t="shared" si="17"/>
        <v>50000</v>
      </c>
      <c r="W36" s="76">
        <f t="shared" si="17"/>
        <v>50000</v>
      </c>
    </row>
    <row r="37" spans="1:23" x14ac:dyDescent="0.25">
      <c r="A37" s="62" t="s">
        <v>336</v>
      </c>
      <c r="B37" s="28" t="s">
        <v>108</v>
      </c>
      <c r="C37" s="74">
        <f>Старт_расходы</f>
        <v>60000</v>
      </c>
      <c r="D37" s="75">
        <f t="shared" si="8"/>
        <v>60000</v>
      </c>
      <c r="E37" s="76"/>
      <c r="F37" s="76">
        <f t="shared" ref="F37:W37" si="18">IF(F$4=1,$C37,0)</f>
        <v>60000</v>
      </c>
      <c r="G37" s="76">
        <f t="shared" si="18"/>
        <v>0</v>
      </c>
      <c r="H37" s="76">
        <f t="shared" si="18"/>
        <v>0</v>
      </c>
      <c r="I37" s="76">
        <f t="shared" si="18"/>
        <v>0</v>
      </c>
      <c r="J37" s="76">
        <f t="shared" si="18"/>
        <v>0</v>
      </c>
      <c r="K37" s="76">
        <f t="shared" si="18"/>
        <v>0</v>
      </c>
      <c r="L37" s="76">
        <f t="shared" si="18"/>
        <v>0</v>
      </c>
      <c r="M37" s="76">
        <f t="shared" si="18"/>
        <v>0</v>
      </c>
      <c r="N37" s="76">
        <f t="shared" si="18"/>
        <v>0</v>
      </c>
      <c r="O37" s="76">
        <f t="shared" si="18"/>
        <v>0</v>
      </c>
      <c r="P37" s="76">
        <f t="shared" si="18"/>
        <v>0</v>
      </c>
      <c r="Q37" s="76">
        <f t="shared" si="18"/>
        <v>0</v>
      </c>
      <c r="R37" s="76">
        <f t="shared" si="18"/>
        <v>0</v>
      </c>
      <c r="S37" s="76">
        <f t="shared" si="18"/>
        <v>0</v>
      </c>
      <c r="T37" s="76">
        <f t="shared" si="18"/>
        <v>0</v>
      </c>
      <c r="U37" s="76">
        <f t="shared" si="18"/>
        <v>0</v>
      </c>
      <c r="V37" s="76">
        <f t="shared" si="18"/>
        <v>0</v>
      </c>
      <c r="W37" s="76">
        <f t="shared" si="18"/>
        <v>0</v>
      </c>
    </row>
    <row r="38" spans="1:23" x14ac:dyDescent="0.25">
      <c r="A38" s="62" t="s">
        <v>368</v>
      </c>
      <c r="B38" s="28" t="s">
        <v>108</v>
      </c>
      <c r="C38" s="74"/>
      <c r="D38" s="75">
        <f t="shared" si="8"/>
        <v>175000</v>
      </c>
      <c r="E38" s="76"/>
      <c r="F38" s="76">
        <f>'Денежный поток'!F$52</f>
        <v>175000</v>
      </c>
      <c r="G38" s="76">
        <f>'Денежный поток'!G$52</f>
        <v>0</v>
      </c>
      <c r="H38" s="76">
        <f>'Денежный поток'!H$52</f>
        <v>0</v>
      </c>
      <c r="I38" s="76">
        <f>'Денежный поток'!I$52</f>
        <v>0</v>
      </c>
      <c r="J38" s="76">
        <f>'Денежный поток'!J$52</f>
        <v>0</v>
      </c>
      <c r="K38" s="76">
        <f>'Денежный поток'!K$52</f>
        <v>0</v>
      </c>
      <c r="L38" s="76">
        <f>'Денежный поток'!L$52</f>
        <v>0</v>
      </c>
      <c r="M38" s="76">
        <f>'Денежный поток'!M$52</f>
        <v>0</v>
      </c>
      <c r="N38" s="76">
        <f>'Денежный поток'!N$52</f>
        <v>0</v>
      </c>
      <c r="O38" s="76">
        <f>'Денежный поток'!O$52</f>
        <v>0</v>
      </c>
      <c r="P38" s="76">
        <f>'Денежный поток'!P$52</f>
        <v>0</v>
      </c>
      <c r="Q38" s="76">
        <f>'Денежный поток'!Q$52</f>
        <v>0</v>
      </c>
      <c r="R38" s="76">
        <f>'Денежный поток'!R$52</f>
        <v>0</v>
      </c>
      <c r="S38" s="76">
        <f>'Денежный поток'!S$52</f>
        <v>0</v>
      </c>
      <c r="T38" s="76">
        <f>'Денежный поток'!T$52</f>
        <v>0</v>
      </c>
      <c r="U38" s="76">
        <f>'Денежный поток'!U$52</f>
        <v>0</v>
      </c>
      <c r="V38" s="76">
        <f>'Денежный поток'!V$52</f>
        <v>0</v>
      </c>
      <c r="W38" s="76">
        <f>'Денежный поток'!W$52</f>
        <v>0</v>
      </c>
    </row>
    <row r="39" spans="1:23" x14ac:dyDescent="0.25">
      <c r="A39" s="59" t="s">
        <v>289</v>
      </c>
      <c r="B39" s="60" t="s">
        <v>108</v>
      </c>
      <c r="C39" s="77"/>
      <c r="D39" s="75">
        <f t="shared" si="8"/>
        <v>4516873.6576580973</v>
      </c>
      <c r="E39" s="75"/>
      <c r="F39" s="75">
        <f t="shared" ref="F39:W39" si="19">F20-F23-F29-F35-F36-F37-F38</f>
        <v>-285000</v>
      </c>
      <c r="G39" s="75">
        <f t="shared" si="19"/>
        <v>-50000</v>
      </c>
      <c r="H39" s="75">
        <f t="shared" si="19"/>
        <v>62988.626333733351</v>
      </c>
      <c r="I39" s="75">
        <f t="shared" si="19"/>
        <v>138314.37722288893</v>
      </c>
      <c r="J39" s="75">
        <f t="shared" si="19"/>
        <v>213640.12811204453</v>
      </c>
      <c r="K39" s="75">
        <f t="shared" si="19"/>
        <v>270541.49810748262</v>
      </c>
      <c r="L39" s="75">
        <f t="shared" si="19"/>
        <v>326628.75444577786</v>
      </c>
      <c r="M39" s="75">
        <f t="shared" si="19"/>
        <v>326628.75444577786</v>
      </c>
      <c r="N39" s="75">
        <f t="shared" si="19"/>
        <v>308204.3735520604</v>
      </c>
      <c r="O39" s="75">
        <f t="shared" si="19"/>
        <v>326628.75444577786</v>
      </c>
      <c r="P39" s="75">
        <f t="shared" si="19"/>
        <v>345867.24899663829</v>
      </c>
      <c r="Q39" s="75">
        <f t="shared" si="19"/>
        <v>364291.62989035551</v>
      </c>
      <c r="R39" s="75">
        <f t="shared" si="19"/>
        <v>421192.99988579378</v>
      </c>
      <c r="S39" s="75">
        <f t="shared" si="19"/>
        <v>439617.38077951112</v>
      </c>
      <c r="T39" s="75">
        <f t="shared" si="19"/>
        <v>288965.87900120008</v>
      </c>
      <c r="U39" s="75">
        <f t="shared" si="19"/>
        <v>326628.75444577786</v>
      </c>
      <c r="V39" s="75">
        <f t="shared" si="19"/>
        <v>345867.24899663829</v>
      </c>
      <c r="W39" s="75">
        <f t="shared" si="19"/>
        <v>345867.24899663829</v>
      </c>
    </row>
    <row r="41" spans="1:23" x14ac:dyDescent="0.25">
      <c r="A41" s="80" t="s">
        <v>369</v>
      </c>
      <c r="B41" s="28" t="s">
        <v>108</v>
      </c>
      <c r="C41" s="74"/>
      <c r="D41" s="75"/>
      <c r="E41" s="74"/>
      <c r="F41" s="74">
        <f t="shared" ref="F41:W41" si="20">SUMIFS($F8:$W8,$F$6:$W$6,F$6,$F$4:$W$4,"&lt;="&amp;F$4)</f>
        <v>0</v>
      </c>
      <c r="G41" s="74">
        <f t="shared" si="20"/>
        <v>0</v>
      </c>
      <c r="H41" s="74">
        <f t="shared" si="20"/>
        <v>487890</v>
      </c>
      <c r="I41" s="74">
        <f t="shared" si="20"/>
        <v>1301040</v>
      </c>
      <c r="J41" s="74">
        <f t="shared" si="20"/>
        <v>2439450</v>
      </c>
      <c r="K41" s="74">
        <f t="shared" si="20"/>
        <v>3823550</v>
      </c>
      <c r="L41" s="74">
        <f t="shared" si="20"/>
        <v>5449850</v>
      </c>
      <c r="M41" s="74">
        <f t="shared" si="20"/>
        <v>7076150</v>
      </c>
      <c r="N41" s="74">
        <f t="shared" si="20"/>
        <v>8622880</v>
      </c>
      <c r="O41" s="74">
        <f t="shared" si="20"/>
        <v>10249180</v>
      </c>
      <c r="P41" s="74">
        <f t="shared" si="20"/>
        <v>11958540</v>
      </c>
      <c r="Q41" s="74">
        <f t="shared" si="20"/>
        <v>13747470</v>
      </c>
      <c r="R41" s="74">
        <f t="shared" si="20"/>
        <v>15782090</v>
      </c>
      <c r="S41" s="74">
        <f t="shared" si="20"/>
        <v>17896280</v>
      </c>
      <c r="T41" s="74">
        <f t="shared" si="20"/>
        <v>1463670</v>
      </c>
      <c r="U41" s="74">
        <f t="shared" si="20"/>
        <v>3089970</v>
      </c>
      <c r="V41" s="74">
        <f t="shared" si="20"/>
        <v>4799330</v>
      </c>
      <c r="W41" s="74">
        <f t="shared" si="20"/>
        <v>6508690</v>
      </c>
    </row>
    <row r="42" spans="1:23" x14ac:dyDescent="0.25">
      <c r="A42" s="80" t="s">
        <v>370</v>
      </c>
      <c r="B42" s="28" t="s">
        <v>108</v>
      </c>
      <c r="C42" s="74"/>
      <c r="D42" s="75"/>
      <c r="E42" s="74"/>
      <c r="F42" s="74">
        <f t="shared" ref="F42:W42" si="21">SUMIFS($F39:$W39,$F$6:$W$6,F$6,$F$4:$W$4,"&lt;="&amp;F$4)</f>
        <v>-285000</v>
      </c>
      <c r="G42" s="74">
        <f t="shared" si="21"/>
        <v>-335000</v>
      </c>
      <c r="H42" s="74">
        <f t="shared" si="21"/>
        <v>62988.626333733351</v>
      </c>
      <c r="I42" s="74">
        <f t="shared" si="21"/>
        <v>201303.00355662228</v>
      </c>
      <c r="J42" s="74">
        <f t="shared" si="21"/>
        <v>414943.13166866684</v>
      </c>
      <c r="K42" s="74">
        <f t="shared" si="21"/>
        <v>685484.62977614952</v>
      </c>
      <c r="L42" s="74">
        <f t="shared" si="21"/>
        <v>1012113.3842219274</v>
      </c>
      <c r="M42" s="74">
        <f t="shared" si="21"/>
        <v>1338742.1386677052</v>
      </c>
      <c r="N42" s="74">
        <f t="shared" si="21"/>
        <v>1646946.5122197657</v>
      </c>
      <c r="O42" s="74">
        <f t="shared" si="21"/>
        <v>1973575.2666655434</v>
      </c>
      <c r="P42" s="74">
        <f t="shared" si="21"/>
        <v>2319442.5156621817</v>
      </c>
      <c r="Q42" s="74">
        <f t="shared" si="21"/>
        <v>2683734.1455525374</v>
      </c>
      <c r="R42" s="74">
        <f t="shared" si="21"/>
        <v>3104927.1454383312</v>
      </c>
      <c r="S42" s="74">
        <f t="shared" si="21"/>
        <v>3544544.5262178425</v>
      </c>
      <c r="T42" s="74">
        <f t="shared" si="21"/>
        <v>288965.87900120008</v>
      </c>
      <c r="U42" s="74">
        <f t="shared" si="21"/>
        <v>615594.63344697794</v>
      </c>
      <c r="V42" s="74">
        <f t="shared" si="21"/>
        <v>961461.88244361617</v>
      </c>
      <c r="W42" s="74">
        <f t="shared" si="21"/>
        <v>1307329.1314402544</v>
      </c>
    </row>
    <row r="43" spans="1:23" x14ac:dyDescent="0.25">
      <c r="A43" s="80" t="s">
        <v>371</v>
      </c>
      <c r="B43" s="28" t="s">
        <v>108</v>
      </c>
      <c r="C43" s="74"/>
      <c r="D43" s="75"/>
      <c r="E43" s="74"/>
      <c r="F43" s="74">
        <f t="shared" ref="F43:W43" si="22">CHOOSE(Налог_номер,Ставка_УСН6*F41,MAX(Ставка_УСН15*F42,Мин_налог_УСН15*F41),Ставка_НПД*F41)</f>
        <v>0</v>
      </c>
      <c r="G43" s="74">
        <f t="shared" si="22"/>
        <v>0</v>
      </c>
      <c r="H43" s="74">
        <f t="shared" si="22"/>
        <v>29273.399999999998</v>
      </c>
      <c r="I43" s="74">
        <f t="shared" si="22"/>
        <v>78062.399999999994</v>
      </c>
      <c r="J43" s="74">
        <f t="shared" si="22"/>
        <v>146367</v>
      </c>
      <c r="K43" s="74">
        <f t="shared" si="22"/>
        <v>229413</v>
      </c>
      <c r="L43" s="74">
        <f t="shared" si="22"/>
        <v>326991</v>
      </c>
      <c r="M43" s="74">
        <f t="shared" si="22"/>
        <v>424569</v>
      </c>
      <c r="N43" s="74">
        <f t="shared" si="22"/>
        <v>517372.8</v>
      </c>
      <c r="O43" s="74">
        <f t="shared" si="22"/>
        <v>614950.79999999993</v>
      </c>
      <c r="P43" s="74">
        <f t="shared" si="22"/>
        <v>717512.4</v>
      </c>
      <c r="Q43" s="74">
        <f t="shared" si="22"/>
        <v>824848.2</v>
      </c>
      <c r="R43" s="74">
        <f t="shared" si="22"/>
        <v>946925.39999999991</v>
      </c>
      <c r="S43" s="74">
        <f t="shared" si="22"/>
        <v>1073776.8</v>
      </c>
      <c r="T43" s="74">
        <f t="shared" si="22"/>
        <v>87820.2</v>
      </c>
      <c r="U43" s="74">
        <f t="shared" si="22"/>
        <v>185398.19999999998</v>
      </c>
      <c r="V43" s="74">
        <f t="shared" si="22"/>
        <v>287959.8</v>
      </c>
      <c r="W43" s="74">
        <f t="shared" si="22"/>
        <v>390521.39999999997</v>
      </c>
    </row>
    <row r="45" spans="1:23" x14ac:dyDescent="0.25">
      <c r="A45" s="62" t="s">
        <v>372</v>
      </c>
      <c r="B45" s="28" t="s">
        <v>108</v>
      </c>
      <c r="C45" s="74"/>
      <c r="D45" s="75">
        <f>SUM(F45:W45)</f>
        <v>1464298.2000000002</v>
      </c>
      <c r="E45" s="76"/>
      <c r="F45" s="76">
        <f t="shared" ref="F45:W45" si="23">F43-IF(E$6=F$6,E43,0)</f>
        <v>0</v>
      </c>
      <c r="G45" s="76">
        <f t="shared" si="23"/>
        <v>0</v>
      </c>
      <c r="H45" s="76">
        <f t="shared" si="23"/>
        <v>29273.399999999998</v>
      </c>
      <c r="I45" s="76">
        <f t="shared" si="23"/>
        <v>48789</v>
      </c>
      <c r="J45" s="76">
        <f t="shared" si="23"/>
        <v>68304.600000000006</v>
      </c>
      <c r="K45" s="76">
        <f t="shared" si="23"/>
        <v>83046</v>
      </c>
      <c r="L45" s="76">
        <f t="shared" si="23"/>
        <v>97578</v>
      </c>
      <c r="M45" s="76">
        <f t="shared" si="23"/>
        <v>97578</v>
      </c>
      <c r="N45" s="76">
        <f t="shared" si="23"/>
        <v>92803.799999999988</v>
      </c>
      <c r="O45" s="76">
        <f t="shared" si="23"/>
        <v>97577.999999999942</v>
      </c>
      <c r="P45" s="76">
        <f t="shared" si="23"/>
        <v>102561.60000000009</v>
      </c>
      <c r="Q45" s="76">
        <f t="shared" si="23"/>
        <v>107335.79999999993</v>
      </c>
      <c r="R45" s="76">
        <f t="shared" si="23"/>
        <v>122077.19999999995</v>
      </c>
      <c r="S45" s="76">
        <f t="shared" si="23"/>
        <v>126851.40000000014</v>
      </c>
      <c r="T45" s="76">
        <f t="shared" si="23"/>
        <v>87820.2</v>
      </c>
      <c r="U45" s="76">
        <f t="shared" si="23"/>
        <v>97577.999999999985</v>
      </c>
      <c r="V45" s="76">
        <f t="shared" si="23"/>
        <v>102561.60000000001</v>
      </c>
      <c r="W45" s="76">
        <f t="shared" si="23"/>
        <v>102561.59999999998</v>
      </c>
    </row>
    <row r="46" spans="1:23" x14ac:dyDescent="0.25">
      <c r="A46" s="59" t="s">
        <v>373</v>
      </c>
      <c r="B46" s="60" t="s">
        <v>108</v>
      </c>
      <c r="C46" s="77"/>
      <c r="D46" s="75">
        <f>SUM(F46:W46)</f>
        <v>3052575.4576580962</v>
      </c>
      <c r="E46" s="75"/>
      <c r="F46" s="75">
        <f t="shared" ref="F46:W46" si="24">F39-F45</f>
        <v>-285000</v>
      </c>
      <c r="G46" s="75">
        <f t="shared" si="24"/>
        <v>-50000</v>
      </c>
      <c r="H46" s="75">
        <f t="shared" si="24"/>
        <v>33715.226333733357</v>
      </c>
      <c r="I46" s="75">
        <f t="shared" si="24"/>
        <v>89525.377222888928</v>
      </c>
      <c r="J46" s="75">
        <f t="shared" si="24"/>
        <v>145335.52811204453</v>
      </c>
      <c r="K46" s="75">
        <f t="shared" si="24"/>
        <v>187495.49810748262</v>
      </c>
      <c r="L46" s="75">
        <f t="shared" si="24"/>
        <v>229050.75444577786</v>
      </c>
      <c r="M46" s="75">
        <f t="shared" si="24"/>
        <v>229050.75444577786</v>
      </c>
      <c r="N46" s="75">
        <f t="shared" si="24"/>
        <v>215400.57355206041</v>
      </c>
      <c r="O46" s="75">
        <f t="shared" si="24"/>
        <v>229050.75444577791</v>
      </c>
      <c r="P46" s="75">
        <f t="shared" si="24"/>
        <v>243305.64899663819</v>
      </c>
      <c r="Q46" s="75">
        <f t="shared" si="24"/>
        <v>256955.82989035558</v>
      </c>
      <c r="R46" s="75">
        <f t="shared" si="24"/>
        <v>299115.79988579382</v>
      </c>
      <c r="S46" s="75">
        <f t="shared" si="24"/>
        <v>312765.98077951098</v>
      </c>
      <c r="T46" s="75">
        <f t="shared" si="24"/>
        <v>201145.67900120007</v>
      </c>
      <c r="U46" s="75">
        <f t="shared" si="24"/>
        <v>229050.75444577786</v>
      </c>
      <c r="V46" s="75">
        <f t="shared" si="24"/>
        <v>243305.64899663828</v>
      </c>
      <c r="W46" s="75">
        <f t="shared" si="24"/>
        <v>243305.64899663831</v>
      </c>
    </row>
    <row r="47" spans="1:23" x14ac:dyDescent="0.25">
      <c r="A47" s="62" t="s">
        <v>374</v>
      </c>
      <c r="B47" s="28" t="s">
        <v>108</v>
      </c>
      <c r="C47" s="74"/>
      <c r="D47" s="75"/>
      <c r="E47" s="76"/>
      <c r="F47" s="76">
        <f t="shared" ref="F47:W47" si="25">E47+F46</f>
        <v>-285000</v>
      </c>
      <c r="G47" s="76">
        <f t="shared" si="25"/>
        <v>-335000</v>
      </c>
      <c r="H47" s="76">
        <f t="shared" si="25"/>
        <v>-301284.77366626664</v>
      </c>
      <c r="I47" s="76">
        <f t="shared" si="25"/>
        <v>-211759.39644337771</v>
      </c>
      <c r="J47" s="76">
        <f t="shared" si="25"/>
        <v>-66423.868331333186</v>
      </c>
      <c r="K47" s="76">
        <f t="shared" si="25"/>
        <v>121071.62977614944</v>
      </c>
      <c r="L47" s="76">
        <f t="shared" si="25"/>
        <v>350122.38422192726</v>
      </c>
      <c r="M47" s="76">
        <f t="shared" si="25"/>
        <v>579173.13866770512</v>
      </c>
      <c r="N47" s="76">
        <f t="shared" si="25"/>
        <v>794573.71221976553</v>
      </c>
      <c r="O47" s="76">
        <f t="shared" si="25"/>
        <v>1023624.4666655434</v>
      </c>
      <c r="P47" s="76">
        <f t="shared" si="25"/>
        <v>1266930.1156621815</v>
      </c>
      <c r="Q47" s="76">
        <f t="shared" si="25"/>
        <v>1523885.9455525372</v>
      </c>
      <c r="R47" s="76">
        <f t="shared" si="25"/>
        <v>1823001.745438331</v>
      </c>
      <c r="S47" s="76">
        <f t="shared" si="25"/>
        <v>2135767.7262178422</v>
      </c>
      <c r="T47" s="76">
        <f t="shared" si="25"/>
        <v>2336913.4052190422</v>
      </c>
      <c r="U47" s="76">
        <f t="shared" si="25"/>
        <v>2565964.1596648199</v>
      </c>
      <c r="V47" s="76">
        <f t="shared" si="25"/>
        <v>2809269.8086614581</v>
      </c>
      <c r="W47" s="76">
        <f t="shared" si="25"/>
        <v>3052575.4576580962</v>
      </c>
    </row>
    <row r="48" spans="1:23" x14ac:dyDescent="0.25">
      <c r="A48" s="62" t="s">
        <v>375</v>
      </c>
      <c r="B48" s="28" t="s">
        <v>117</v>
      </c>
      <c r="C48" s="79"/>
      <c r="D48" s="91">
        <f>IFERROR(D46/D8,0)</f>
        <v>0.12508007416760178</v>
      </c>
      <c r="E48" s="92"/>
      <c r="F48" s="92">
        <f t="shared" ref="F48:W48" si="26">IFERROR(F46/F8,0)</f>
        <v>0</v>
      </c>
      <c r="G48" s="92">
        <f t="shared" si="26"/>
        <v>0</v>
      </c>
      <c r="H48" s="92">
        <f t="shared" si="26"/>
        <v>6.9104155309051951E-2</v>
      </c>
      <c r="I48" s="92">
        <f t="shared" si="26"/>
        <v>0.11009700205729439</v>
      </c>
      <c r="J48" s="92">
        <f t="shared" si="26"/>
        <v>0.12766536494939831</v>
      </c>
      <c r="K48" s="92">
        <f t="shared" si="26"/>
        <v>0.13546383795064129</v>
      </c>
      <c r="L48" s="92">
        <f t="shared" si="26"/>
        <v>0.14084163711847622</v>
      </c>
      <c r="M48" s="92">
        <f t="shared" si="26"/>
        <v>0.14084163711847622</v>
      </c>
      <c r="N48" s="92">
        <f t="shared" si="26"/>
        <v>0.13926190967528942</v>
      </c>
      <c r="O48" s="92">
        <f t="shared" si="26"/>
        <v>0.14084163711847625</v>
      </c>
      <c r="P48" s="92">
        <f t="shared" si="26"/>
        <v>0.14233727769260904</v>
      </c>
      <c r="Q48" s="92">
        <f t="shared" si="26"/>
        <v>0.14363660394221997</v>
      </c>
      <c r="R48" s="92">
        <f t="shared" si="26"/>
        <v>0.14701310312775545</v>
      </c>
      <c r="S48" s="92">
        <f t="shared" si="26"/>
        <v>0.14793655290182575</v>
      </c>
      <c r="T48" s="92">
        <f t="shared" si="26"/>
        <v>0.13742556655612267</v>
      </c>
      <c r="U48" s="92">
        <f t="shared" si="26"/>
        <v>0.14084163711847622</v>
      </c>
      <c r="V48" s="92">
        <f t="shared" si="26"/>
        <v>0.14233727769260909</v>
      </c>
      <c r="W48" s="92">
        <f t="shared" si="26"/>
        <v>0.14233727769260912</v>
      </c>
    </row>
    <row r="51" spans="1:5" x14ac:dyDescent="0.25">
      <c r="A51" s="25" t="s">
        <v>376</v>
      </c>
      <c r="B51" s="26"/>
      <c r="C51" s="26"/>
      <c r="D51" s="26"/>
      <c r="E51" s="26"/>
    </row>
    <row r="52" spans="1:5" x14ac:dyDescent="0.25">
      <c r="A52" s="73" t="s">
        <v>377</v>
      </c>
      <c r="B52" s="28" t="s">
        <v>378</v>
      </c>
      <c r="C52" s="93">
        <f>YEAR(Дата_начала)+0</f>
        <v>2026</v>
      </c>
      <c r="D52" s="94">
        <f>SUMIFS($F$8:$W$8,$F$6:$W$6,$C52)</f>
        <v>0</v>
      </c>
    </row>
    <row r="53" spans="1:5" x14ac:dyDescent="0.25">
      <c r="A53" s="73" t="s">
        <v>377</v>
      </c>
      <c r="B53" s="28" t="s">
        <v>378</v>
      </c>
      <c r="C53" s="93">
        <f>YEAR(Дата_начала)+1</f>
        <v>2027</v>
      </c>
      <c r="D53" s="94">
        <f>SUMIFS($F$8:$W$8,$F$6:$W$6,$C53)</f>
        <v>17896280</v>
      </c>
    </row>
    <row r="54" spans="1:5" x14ac:dyDescent="0.25">
      <c r="A54" s="73" t="s">
        <v>377</v>
      </c>
      <c r="B54" s="28" t="s">
        <v>378</v>
      </c>
      <c r="C54" s="93">
        <f>YEAR(Дата_начала)+2</f>
        <v>2028</v>
      </c>
      <c r="D54" s="94">
        <f>SUMIFS($F$8:$W$8,$F$6:$W$6,$C54)</f>
        <v>6508690</v>
      </c>
    </row>
    <row r="55" spans="1:5" x14ac:dyDescent="0.25">
      <c r="A55" s="16" t="s">
        <v>379</v>
      </c>
      <c r="D55" s="75">
        <f>MAX(D52:D54)</f>
        <v>17896280</v>
      </c>
    </row>
  </sheetData>
  <sheetProtection sheet="1" formatColumns="0" formatRows="0"/>
  <conditionalFormatting sqref="F39:W39">
    <cfRule type="cellIs" dxfId="1" priority="2" operator="lessThan">
      <formula>0</formula>
    </cfRule>
  </conditionalFormatting>
  <conditionalFormatting sqref="F46:W46">
    <cfRule type="cellIs" dxfId="0" priority="1" operator="lessThan">
      <formula>0</formula>
    </cfRule>
  </conditionalFormatting>
  <pageMargins left="0.75" right="0.75"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597"/>
    <pageSetUpPr fitToPage="1"/>
  </sheetPr>
  <dimension ref="A1:J40"/>
  <sheetViews>
    <sheetView showGridLines="0" zoomScale="90" workbookViewId="0"/>
  </sheetViews>
  <sheetFormatPr defaultRowHeight="15" x14ac:dyDescent="0.25"/>
  <cols>
    <col min="1" max="1" width="4" customWidth="1"/>
    <col min="2" max="2" width="44" customWidth="1"/>
    <col min="3" max="3" width="16" customWidth="1"/>
    <col min="4" max="10" width="15" customWidth="1"/>
  </cols>
  <sheetData>
    <row r="1" spans="1:10" ht="21" x14ac:dyDescent="0.35">
      <c r="A1" s="1" t="s">
        <v>380</v>
      </c>
    </row>
    <row r="2" spans="1:10" x14ac:dyDescent="0.25">
      <c r="A2" s="18" t="s">
        <v>381</v>
      </c>
    </row>
    <row r="3" spans="1:10" x14ac:dyDescent="0.25">
      <c r="A3" s="2" t="s">
        <v>5</v>
      </c>
    </row>
    <row r="5" spans="1:10" x14ac:dyDescent="0.25">
      <c r="B5" s="25" t="s">
        <v>382</v>
      </c>
      <c r="C5" s="26"/>
      <c r="D5" s="26"/>
      <c r="E5" s="26"/>
      <c r="F5" s="26"/>
      <c r="G5" s="26"/>
      <c r="H5" s="26"/>
      <c r="I5" s="26"/>
      <c r="J5" s="26"/>
    </row>
    <row r="6" spans="1:10" x14ac:dyDescent="0.25">
      <c r="B6" s="18" t="s">
        <v>383</v>
      </c>
      <c r="C6" s="95">
        <v>0</v>
      </c>
    </row>
    <row r="7" spans="1:10" x14ac:dyDescent="0.25">
      <c r="B7" s="18" t="s">
        <v>384</v>
      </c>
      <c r="C7" s="96">
        <v>0</v>
      </c>
    </row>
    <row r="8" spans="1:10" x14ac:dyDescent="0.25">
      <c r="B8" s="18" t="s">
        <v>385</v>
      </c>
      <c r="C8" s="96">
        <v>0</v>
      </c>
    </row>
    <row r="10" spans="1:10" x14ac:dyDescent="0.25">
      <c r="B10" s="25" t="s">
        <v>386</v>
      </c>
      <c r="C10" s="26"/>
      <c r="D10" s="26"/>
      <c r="E10" s="26"/>
      <c r="F10" s="26"/>
      <c r="G10" s="26"/>
      <c r="H10" s="26"/>
      <c r="I10" s="26"/>
      <c r="J10" s="26"/>
    </row>
    <row r="11" spans="1:10" x14ac:dyDescent="0.25">
      <c r="B11" s="15" t="s">
        <v>387</v>
      </c>
      <c r="C11" s="97">
        <f>ЧП_итого</f>
        <v>3052575.4576580962</v>
      </c>
      <c r="D11" s="98">
        <v>-0.15</v>
      </c>
      <c r="E11" s="98">
        <v>-0.1</v>
      </c>
      <c r="F11" s="98">
        <v>-0.05</v>
      </c>
      <c r="G11" s="98">
        <v>0</v>
      </c>
      <c r="H11" s="98">
        <v>0.05</v>
      </c>
      <c r="I11" s="98">
        <v>0.1</v>
      </c>
      <c r="J11" s="98">
        <v>0.15</v>
      </c>
    </row>
    <row r="12" spans="1:10" x14ac:dyDescent="0.25">
      <c r="B12" s="15" t="s">
        <v>111</v>
      </c>
      <c r="C12" s="99">
        <v>10</v>
      </c>
      <c r="D12" s="69">
        <f t="dataTable" ref="D12:J18" dt2D="1" dtr="1" r1="C7" r2="C6" ca="1"/>
        <v>1877486.027258096</v>
      </c>
      <c r="E12" s="69">
        <v>2695314.9922580961</v>
      </c>
      <c r="F12" s="69">
        <v>3513143.957258096</v>
      </c>
      <c r="G12" s="69">
        <v>4330972.9222580958</v>
      </c>
      <c r="H12" s="69">
        <v>5148801.8872580957</v>
      </c>
      <c r="I12" s="69">
        <v>5966630.8522580955</v>
      </c>
      <c r="J12" s="69">
        <v>6784459.8172580954</v>
      </c>
    </row>
    <row r="13" spans="1:10" x14ac:dyDescent="0.25">
      <c r="B13" s="15"/>
      <c r="C13" s="99">
        <v>11</v>
      </c>
      <c r="D13" s="69">
        <v>1238287.2949580967</v>
      </c>
      <c r="E13" s="69">
        <v>2056116.259958097</v>
      </c>
      <c r="F13" s="69">
        <v>2873945.2249580966</v>
      </c>
      <c r="G13" s="69">
        <v>3691774.1899580965</v>
      </c>
      <c r="H13" s="69">
        <v>4509603.1549580963</v>
      </c>
      <c r="I13" s="69">
        <v>5327432.1199580953</v>
      </c>
      <c r="J13" s="69">
        <v>6145261.084958097</v>
      </c>
    </row>
    <row r="14" spans="1:10" x14ac:dyDescent="0.25">
      <c r="B14" s="15"/>
      <c r="C14" s="99">
        <v>12</v>
      </c>
      <c r="D14" s="69">
        <v>599088.56265809655</v>
      </c>
      <c r="E14" s="69">
        <v>1416917.5276580963</v>
      </c>
      <c r="F14" s="69">
        <v>2234746.4926580964</v>
      </c>
      <c r="G14" s="69">
        <v>3052575.4576580962</v>
      </c>
      <c r="H14" s="69">
        <v>3870404.4226580956</v>
      </c>
      <c r="I14" s="69">
        <v>4688233.387658095</v>
      </c>
      <c r="J14" s="69">
        <v>5506062.3526580967</v>
      </c>
    </row>
    <row r="15" spans="1:10" x14ac:dyDescent="0.25">
      <c r="B15" s="15"/>
      <c r="C15" s="99">
        <v>13</v>
      </c>
      <c r="D15" s="69">
        <v>-40110.169641903049</v>
      </c>
      <c r="E15" s="69">
        <v>777718.7953580966</v>
      </c>
      <c r="F15" s="69">
        <v>1595547.760358097</v>
      </c>
      <c r="G15" s="69">
        <v>2413376.7253580969</v>
      </c>
      <c r="H15" s="69">
        <v>3231205.6903580967</v>
      </c>
      <c r="I15" s="69">
        <v>4049034.6553580961</v>
      </c>
      <c r="J15" s="69">
        <v>4866863.6203580964</v>
      </c>
    </row>
    <row r="16" spans="1:10" x14ac:dyDescent="0.25">
      <c r="B16" s="15"/>
      <c r="C16" s="99">
        <v>14</v>
      </c>
      <c r="D16" s="69">
        <v>-679308.9019419027</v>
      </c>
      <c r="E16" s="69">
        <v>138520.06305809697</v>
      </c>
      <c r="F16" s="69">
        <v>956349.02805809723</v>
      </c>
      <c r="G16" s="69">
        <v>1774177.9930580971</v>
      </c>
      <c r="H16" s="69">
        <v>2592006.9580580969</v>
      </c>
      <c r="I16" s="69">
        <v>3409835.9230580963</v>
      </c>
      <c r="J16" s="69">
        <v>4227664.888058098</v>
      </c>
    </row>
    <row r="17" spans="2:10" x14ac:dyDescent="0.25">
      <c r="B17" s="15"/>
      <c r="C17" s="99">
        <v>15</v>
      </c>
      <c r="D17" s="69">
        <v>-1318507.634241903</v>
      </c>
      <c r="E17" s="69">
        <v>-500678.66924190358</v>
      </c>
      <c r="F17" s="69">
        <v>317150.29575809668</v>
      </c>
      <c r="G17" s="69">
        <v>1134979.2607580966</v>
      </c>
      <c r="H17" s="69">
        <v>1952808.2257580967</v>
      </c>
      <c r="I17" s="69">
        <v>2770637.1907580961</v>
      </c>
      <c r="J17" s="69">
        <v>3588466.1557580968</v>
      </c>
    </row>
    <row r="18" spans="2:10" x14ac:dyDescent="0.25">
      <c r="B18" s="15"/>
      <c r="C18" s="99">
        <v>16</v>
      </c>
      <c r="D18" s="69">
        <v>-1957706.3665419032</v>
      </c>
      <c r="E18" s="69">
        <v>-1139877.4015419034</v>
      </c>
      <c r="F18" s="69">
        <v>-322048.43654190289</v>
      </c>
      <c r="G18" s="69">
        <v>495780.52845809696</v>
      </c>
      <c r="H18" s="69">
        <v>1313609.4934580971</v>
      </c>
      <c r="I18" s="69">
        <v>2131438.4584580963</v>
      </c>
      <c r="J18" s="69">
        <v>2949267.4234580975</v>
      </c>
    </row>
    <row r="21" spans="2:10" x14ac:dyDescent="0.25">
      <c r="B21" s="25" t="s">
        <v>388</v>
      </c>
      <c r="C21" s="26"/>
      <c r="D21" s="26"/>
      <c r="E21" s="26"/>
      <c r="F21" s="26"/>
      <c r="G21" s="26"/>
      <c r="H21" s="26"/>
      <c r="I21" s="26"/>
      <c r="J21" s="26"/>
    </row>
    <row r="22" spans="2:10" x14ac:dyDescent="0.25">
      <c r="B22" s="15" t="s">
        <v>389</v>
      </c>
      <c r="C22" s="100">
        <f>ЧП_итого</f>
        <v>3052575.4576580962</v>
      </c>
      <c r="D22" s="98">
        <v>-0.3</v>
      </c>
      <c r="E22" s="98">
        <v>-0.2</v>
      </c>
      <c r="F22" s="98">
        <v>-0.1</v>
      </c>
      <c r="G22" s="98">
        <v>0</v>
      </c>
      <c r="H22" s="98">
        <v>0.1</v>
      </c>
      <c r="I22" s="98">
        <v>0.2</v>
      </c>
      <c r="J22" s="98">
        <v>0.3</v>
      </c>
    </row>
    <row r="23" spans="2:10" x14ac:dyDescent="0.25">
      <c r="B23" s="15" t="s">
        <v>111</v>
      </c>
      <c r="C23" s="99">
        <v>10</v>
      </c>
      <c r="D23" s="69">
        <f t="dataTable" ref="D23:J29" dt2D="1" dtr="1" r1="C8" r2="C6" ca="1"/>
        <v>2690169.1778039001</v>
      </c>
      <c r="E23" s="69">
        <v>3237245.3498877557</v>
      </c>
      <c r="F23" s="69">
        <v>3781999.3752840911</v>
      </c>
      <c r="G23" s="69">
        <v>4330972.9222580958</v>
      </c>
      <c r="H23" s="69">
        <v>4876967.4389134673</v>
      </c>
      <c r="I23" s="69">
        <v>5419584.0434855791</v>
      </c>
      <c r="J23" s="69">
        <v>5968797.6363936597</v>
      </c>
    </row>
    <row r="24" spans="2:10" x14ac:dyDescent="0.25">
      <c r="B24" s="15"/>
      <c r="C24" s="99">
        <v>11</v>
      </c>
      <c r="D24" s="69">
        <v>2242769.8926539011</v>
      </c>
      <c r="E24" s="69">
        <v>2726112.173437756</v>
      </c>
      <c r="F24" s="69">
        <v>3206958.766234091</v>
      </c>
      <c r="G24" s="69">
        <v>3691774.1899580965</v>
      </c>
      <c r="H24" s="69">
        <v>4174012.7333134678</v>
      </c>
      <c r="I24" s="69">
        <v>4653063.8399355803</v>
      </c>
      <c r="J24" s="69">
        <v>5138201.6068936577</v>
      </c>
    </row>
    <row r="25" spans="2:10" x14ac:dyDescent="0.25">
      <c r="B25" s="15"/>
      <c r="C25" s="99">
        <v>12</v>
      </c>
      <c r="D25" s="69">
        <v>1795370.6075039003</v>
      </c>
      <c r="E25" s="69">
        <v>2214978.9969877545</v>
      </c>
      <c r="F25" s="69">
        <v>2631918.1571840919</v>
      </c>
      <c r="G25" s="69">
        <v>3052575.4576580962</v>
      </c>
      <c r="H25" s="69">
        <v>3471058.0277134683</v>
      </c>
      <c r="I25" s="69">
        <v>3886543.6363855805</v>
      </c>
      <c r="J25" s="69">
        <v>4307605.5773936594</v>
      </c>
    </row>
    <row r="26" spans="2:10" x14ac:dyDescent="0.25">
      <c r="B26" s="15"/>
      <c r="C26" s="99">
        <v>13</v>
      </c>
      <c r="D26" s="69">
        <v>1347971.3223539009</v>
      </c>
      <c r="E26" s="69">
        <v>1703845.8205377553</v>
      </c>
      <c r="F26" s="69">
        <v>2056877.5481340913</v>
      </c>
      <c r="G26" s="69">
        <v>2413376.7253580969</v>
      </c>
      <c r="H26" s="69">
        <v>2768103.3221134697</v>
      </c>
      <c r="I26" s="69">
        <v>3120023.4328355798</v>
      </c>
      <c r="J26" s="69">
        <v>3477009.5478936601</v>
      </c>
    </row>
    <row r="27" spans="2:10" x14ac:dyDescent="0.25">
      <c r="B27" s="15"/>
      <c r="C27" s="99">
        <v>14</v>
      </c>
      <c r="D27" s="69">
        <v>900572.03720390017</v>
      </c>
      <c r="E27" s="69">
        <v>1192712.6440877556</v>
      </c>
      <c r="F27" s="69">
        <v>1481836.9390840922</v>
      </c>
      <c r="G27" s="69">
        <v>1774177.9930580971</v>
      </c>
      <c r="H27" s="69">
        <v>2065148.616513469</v>
      </c>
      <c r="I27" s="69">
        <v>2353503.2292855796</v>
      </c>
      <c r="J27" s="69">
        <v>2646413.51839366</v>
      </c>
    </row>
    <row r="28" spans="2:10" x14ac:dyDescent="0.25">
      <c r="B28" s="15"/>
      <c r="C28" s="99">
        <v>15</v>
      </c>
      <c r="D28" s="69">
        <v>453172.75205390062</v>
      </c>
      <c r="E28" s="69">
        <v>681579.46763775544</v>
      </c>
      <c r="F28" s="69">
        <v>906796.33003409137</v>
      </c>
      <c r="G28" s="69">
        <v>1134979.2607580966</v>
      </c>
      <c r="H28" s="69">
        <v>1362193.9109134688</v>
      </c>
      <c r="I28" s="69">
        <v>1586983.0257355792</v>
      </c>
      <c r="J28" s="69">
        <v>1815817.4888936589</v>
      </c>
    </row>
    <row r="29" spans="2:10" x14ac:dyDescent="0.25">
      <c r="B29" s="15"/>
      <c r="C29" s="99">
        <v>16</v>
      </c>
      <c r="D29" s="69">
        <v>5773.4669039009314</v>
      </c>
      <c r="E29" s="69">
        <v>170446.2911877562</v>
      </c>
      <c r="F29" s="69">
        <v>331755.72098409256</v>
      </c>
      <c r="G29" s="69">
        <v>495780.52845809696</v>
      </c>
      <c r="H29" s="69">
        <v>659239.20531347021</v>
      </c>
      <c r="I29" s="69">
        <v>820462.82218558015</v>
      </c>
      <c r="J29" s="69">
        <v>985221.45939366007</v>
      </c>
    </row>
    <row r="32" spans="2:10" x14ac:dyDescent="0.25">
      <c r="B32" s="25" t="s">
        <v>390</v>
      </c>
      <c r="C32" s="26"/>
      <c r="D32" s="26"/>
      <c r="E32" s="26"/>
      <c r="F32" s="26"/>
      <c r="G32" s="26"/>
      <c r="H32" s="26"/>
      <c r="I32" s="26"/>
      <c r="J32" s="26"/>
    </row>
    <row r="33" spans="2:10" x14ac:dyDescent="0.25">
      <c r="B33" s="15" t="s">
        <v>389</v>
      </c>
      <c r="C33" s="100">
        <f>Пик_вложений</f>
        <v>2397876.6906028972</v>
      </c>
      <c r="D33" s="98">
        <v>-0.3</v>
      </c>
      <c r="E33" s="98">
        <v>-0.2</v>
      </c>
      <c r="F33" s="98">
        <v>-0.1</v>
      </c>
      <c r="G33" s="98">
        <v>0</v>
      </c>
      <c r="H33" s="98">
        <v>0.1</v>
      </c>
      <c r="I33" s="98">
        <v>0.2</v>
      </c>
      <c r="J33" s="98">
        <v>0.3</v>
      </c>
    </row>
    <row r="34" spans="2:10" x14ac:dyDescent="0.25">
      <c r="B34" s="15" t="s">
        <v>111</v>
      </c>
      <c r="C34" s="99">
        <v>10</v>
      </c>
      <c r="D34" s="69">
        <f t="dataTable" ref="D34:J40" dt2D="1" dtr="1" r1="C8" r2="C6"/>
        <v>1604078.265954718</v>
      </c>
      <c r="E34" s="69">
        <v>1829623.1196038406</v>
      </c>
      <c r="F34" s="69">
        <v>1793793.8101898935</v>
      </c>
      <c r="G34" s="69">
        <v>1991284.2521251703</v>
      </c>
      <c r="H34" s="69">
        <v>2015067.4001233056</v>
      </c>
      <c r="I34" s="69">
        <v>2162887.861614848</v>
      </c>
      <c r="J34" s="69">
        <v>2169062.3486980777</v>
      </c>
    </row>
    <row r="35" spans="2:10" x14ac:dyDescent="0.25">
      <c r="B35" s="15"/>
      <c r="C35" s="99">
        <v>11</v>
      </c>
      <c r="D35" s="69">
        <v>1780223.3459547185</v>
      </c>
      <c r="E35" s="69">
        <v>2002160.1996038405</v>
      </c>
      <c r="F35" s="69">
        <v>1975426.3051898933</v>
      </c>
      <c r="G35" s="69">
        <v>2158346.7956028981</v>
      </c>
      <c r="H35" s="69">
        <v>2279885.5551233054</v>
      </c>
      <c r="I35" s="69">
        <v>2344520.3566148481</v>
      </c>
      <c r="J35" s="69">
        <v>2424683.7302510776</v>
      </c>
    </row>
    <row r="36" spans="2:10" x14ac:dyDescent="0.25">
      <c r="B36" s="15"/>
      <c r="C36" s="99">
        <v>12</v>
      </c>
      <c r="D36" s="69">
        <v>1956368.4259547186</v>
      </c>
      <c r="E36" s="69">
        <v>2174697.2796038408</v>
      </c>
      <c r="F36" s="69">
        <v>2167481.6510824906</v>
      </c>
      <c r="G36" s="69">
        <v>2397876.6906028972</v>
      </c>
      <c r="H36" s="69">
        <v>2544703.7101233052</v>
      </c>
      <c r="I36" s="69">
        <v>2544269.049643714</v>
      </c>
      <c r="J36" s="69">
        <v>2724453.4352510776</v>
      </c>
    </row>
    <row r="37" spans="2:10" x14ac:dyDescent="0.25">
      <c r="B37" s="15"/>
      <c r="C37" s="99">
        <v>13</v>
      </c>
      <c r="D37" s="69">
        <v>2132513.5059547182</v>
      </c>
      <c r="E37" s="69">
        <v>2347234.3596038399</v>
      </c>
      <c r="F37" s="69">
        <v>2381191.9060824905</v>
      </c>
      <c r="G37" s="69">
        <v>2637406.5856028977</v>
      </c>
      <c r="H37" s="69">
        <v>2809521.8651233055</v>
      </c>
      <c r="I37" s="69">
        <v>2820627.3196437131</v>
      </c>
      <c r="J37" s="69">
        <v>3024223.1402510777</v>
      </c>
    </row>
    <row r="38" spans="2:10" x14ac:dyDescent="0.25">
      <c r="B38" s="15"/>
      <c r="C38" s="99">
        <v>14</v>
      </c>
      <c r="D38" s="69">
        <v>2308658.5859547188</v>
      </c>
      <c r="E38" s="69">
        <v>2561855.0771983606</v>
      </c>
      <c r="F38" s="69">
        <v>2594902.1610824903</v>
      </c>
      <c r="G38" s="69">
        <v>2876936.4806028977</v>
      </c>
      <c r="H38" s="69">
        <v>3074340.0201233057</v>
      </c>
      <c r="I38" s="69">
        <v>3096985.5896437131</v>
      </c>
      <c r="J38" s="69">
        <v>3323992.8452510778</v>
      </c>
    </row>
    <row r="39" spans="2:10" x14ac:dyDescent="0.25">
      <c r="B39" s="15"/>
      <c r="C39" s="99">
        <v>15</v>
      </c>
      <c r="D39" s="69">
        <v>2541401.8006808921</v>
      </c>
      <c r="E39" s="69">
        <v>2802836.9721983606</v>
      </c>
      <c r="F39" s="69">
        <v>2808612.4160824902</v>
      </c>
      <c r="G39" s="69">
        <v>3116466.3756028973</v>
      </c>
      <c r="H39" s="69">
        <v>3339158.1751233051</v>
      </c>
      <c r="I39" s="69">
        <v>3435294.3693373525</v>
      </c>
      <c r="J39" s="69">
        <v>3623762.5502510779</v>
      </c>
    </row>
    <row r="40" spans="2:10" x14ac:dyDescent="0.25">
      <c r="B40" s="15"/>
      <c r="C40" s="99">
        <v>16</v>
      </c>
      <c r="D40" s="69">
        <v>2892933.2571304999</v>
      </c>
      <c r="E40" s="69">
        <v>3070768.6712082126</v>
      </c>
      <c r="F40" s="69">
        <v>3210204.1853468013</v>
      </c>
      <c r="G40" s="69">
        <v>3355996.2706028977</v>
      </c>
      <c r="H40" s="69">
        <v>3603976.3301233053</v>
      </c>
      <c r="I40" s="69">
        <v>3885531.2493373514</v>
      </c>
      <c r="J40" s="69">
        <v>3923532.2552510779</v>
      </c>
    </row>
  </sheetData>
  <sheetProtection sheet="1" formatColumns="0" formatRows="0"/>
  <conditionalFormatting sqref="D12:J18">
    <cfRule type="colorScale" priority="1">
      <colorScale>
        <cfvo type="min"/>
        <cfvo type="percentile" val="50"/>
        <cfvo type="max"/>
        <color rgb="FFF8696B"/>
        <color rgb="FFFFEB84"/>
        <color rgb="FF63BE7B"/>
      </colorScale>
    </cfRule>
  </conditionalFormatting>
  <conditionalFormatting sqref="D23:J29">
    <cfRule type="colorScale" priority="2">
      <colorScale>
        <cfvo type="min"/>
        <cfvo type="percentile" val="50"/>
        <cfvo type="max"/>
        <color rgb="FFF8696B"/>
        <color rgb="FFFFEB84"/>
        <color rgb="FF63BE7B"/>
      </colorScale>
    </cfRule>
  </conditionalFormatting>
  <conditionalFormatting sqref="D34:J40">
    <cfRule type="colorScale" priority="3">
      <colorScale>
        <cfvo type="min"/>
        <cfvo type="percentile" val="50"/>
        <cfvo type="max"/>
        <color rgb="FF63BE7B"/>
        <color rgb="FFFFEB84"/>
        <color rgb="FFF8696B"/>
      </colorScale>
    </cfRule>
  </conditionalFormatting>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57</vt:i4>
      </vt:variant>
    </vt:vector>
  </HeadingPairs>
  <TitlesOfParts>
    <vt:vector size="66" baseType="lpstr">
      <vt:lpstr>Инструкция</vt:lpstr>
      <vt:lpstr>Дашборд</vt:lpstr>
      <vt:lpstr>Допущения</vt:lpstr>
      <vt:lpstr>Сценарии</vt:lpstr>
      <vt:lpstr>Юнит-экономика</vt:lpstr>
      <vt:lpstr>Закупки и склад</vt:lpstr>
      <vt:lpstr>Денежный поток</vt:lpstr>
      <vt:lpstr>ОПиУ</vt:lpstr>
      <vt:lpstr>Чувствительность</vt:lpstr>
      <vt:lpstr>ROI_период</vt:lpstr>
      <vt:lpstr>Банк_комиссия</vt:lpstr>
      <vt:lpstr>Возврат_логистика</vt:lpstr>
      <vt:lpstr>Выручка_итого</vt:lpstr>
      <vt:lpstr>Выручка_макс_год</vt:lpstr>
      <vt:lpstr>Дата_начала</vt:lpstr>
      <vt:lpstr>Деньги_конец</vt:lpstr>
      <vt:lpstr>Дней_в_месяце</vt:lpstr>
      <vt:lpstr>Доставка_до_МП</vt:lpstr>
      <vt:lpstr>Доставка_кг</vt:lpstr>
      <vt:lpstr>Доставка_м3</vt:lpstr>
      <vt:lpstr>Доставка_номер</vt:lpstr>
      <vt:lpstr>Доставка_список</vt:lpstr>
      <vt:lpstr>Доставка_способ</vt:lpstr>
      <vt:lpstr>ДРР</vt:lpstr>
      <vt:lpstr>ДРР_база</vt:lpstr>
      <vt:lpstr>'Денежный поток'!Заголовки_для_печати</vt:lpstr>
      <vt:lpstr>'Закупки и склад'!Заголовки_для_печати</vt:lpstr>
      <vt:lpstr>ОПиУ!Заголовки_для_печати</vt:lpstr>
      <vt:lpstr>Задержка_выплат_дн</vt:lpstr>
      <vt:lpstr>Капитал_конец</vt:lpstr>
      <vt:lpstr>Капитал_старт</vt:lpstr>
      <vt:lpstr>Комиссия_агента</vt:lpstr>
      <vt:lpstr>Контроль_баланса</vt:lpstr>
      <vt:lpstr>Курс</vt:lpstr>
      <vt:lpstr>Курс_анализ</vt:lpstr>
      <vt:lpstr>Курс_база</vt:lpstr>
      <vt:lpstr>Лимит_НПД</vt:lpstr>
      <vt:lpstr>Макс_разрыв</vt:lpstr>
      <vt:lpstr>Мин_налог_УСН15</vt:lpstr>
      <vt:lpstr>Множитель_продаж</vt:lpstr>
      <vt:lpstr>Множитель_цены</vt:lpstr>
      <vt:lpstr>Налог_номер</vt:lpstr>
      <vt:lpstr>Налог_режим</vt:lpstr>
      <vt:lpstr>Налог_список</vt:lpstr>
      <vt:lpstr>Дашборд!Область_печати</vt:lpstr>
      <vt:lpstr>Объём_анализ</vt:lpstr>
      <vt:lpstr>Окупаемость_мес</vt:lpstr>
      <vt:lpstr>Первый_разрыв</vt:lpstr>
      <vt:lpstr>Пик_вложений</vt:lpstr>
      <vt:lpstr>Порог_НДС_УСН</vt:lpstr>
      <vt:lpstr>Пост_расходы</vt:lpstr>
      <vt:lpstr>Рентабельность</vt:lpstr>
      <vt:lpstr>Срок_поставки</vt:lpstr>
      <vt:lpstr>Ставка_НПД</vt:lpstr>
      <vt:lpstr>Ставка_УСН15</vt:lpstr>
      <vt:lpstr>Ставка_УСН6</vt:lpstr>
      <vt:lpstr>Старт_расходы</vt:lpstr>
      <vt:lpstr>Страх_запас</vt:lpstr>
      <vt:lpstr>Сценарий_выбор</vt:lpstr>
      <vt:lpstr>Сценарий_номер</vt:lpstr>
      <vt:lpstr>Сценарий_ручной</vt:lpstr>
      <vt:lpstr>Тамож_оформление</vt:lpstr>
      <vt:lpstr>Темп_продаж</vt:lpstr>
      <vt:lpstr>Упущено_шт</vt:lpstr>
      <vt:lpstr>Цена_анализ</vt:lpstr>
      <vt:lpstr>ЧП_итого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Вагин Андрей</cp:lastModifiedBy>
  <dcterms:created xsi:type="dcterms:W3CDTF">2026-09-27T09:08:23Z</dcterms:created>
  <dcterms:modified xsi:type="dcterms:W3CDTF">2026-09-27T09:08:35Z</dcterms:modified>
</cp:coreProperties>
</file>